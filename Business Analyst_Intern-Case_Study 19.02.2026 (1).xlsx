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ardboy\Downloads\"/>
    </mc:Choice>
  </mc:AlternateContent>
  <xr:revisionPtr revIDLastSave="0" documentId="8_{F9200229-B041-4D1D-99D2-571B20FB1AE5}" xr6:coauthVersionLast="47" xr6:coauthVersionMax="47" xr10:uidLastSave="{00000000-0000-0000-0000-000000000000}"/>
  <bookViews>
    <workbookView xWindow="-120" yWindow="-120" windowWidth="20730" windowHeight="11160" activeTab="3" xr2:uid="{AF0E2241-184A-490E-8C44-0CDE693F459F}"/>
  </bookViews>
  <sheets>
    <sheet name="Tasks" sheetId="2" r:id="rId1"/>
    <sheet name="Data" sheetId="1" r:id="rId2"/>
    <sheet name="PIVOT TABLES" sheetId="6" r:id="rId3"/>
    <sheet name="Dashbord" sheetId="8" r:id="rId4"/>
  </sheets>
  <definedNames>
    <definedName name="_xlnm._FilterDatabase" localSheetId="1" hidden="1">Data!$A$1:$I$101</definedName>
    <definedName name="Slicer_Month1">#N/A</definedName>
    <definedName name="Slicer_Sale_Date1">#N/A</definedName>
  </definedNames>
  <calcPr calcId="191028"/>
  <pivotCaches>
    <pivotCache cacheId="5" r:id="rId5"/>
    <pivotCache cacheId="1" r:id="rId6"/>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shboard_116f0f31-3d2c-47b4-98c9-779c67722daa" name="Dashboard" connection="Query - Dashboard"/>
          <x15:modelTable id="Data_95b93304-6ea6-4c97-b67c-e625a4cf55ce" name="Data" connection="Query - Data"/>
          <x15:modelTable id="PIVOT TABLES_060dca4c-ba9d-41a1-b995-97ba78b7790d" name="PIVOT TABLES" connection="Query - PIVOT TABLES"/>
          <x15:modelTable id="pivot table 2_fb9e75b6-3bf4-4ca8-8373-9300c5ce9918" name="pivot table 2" connection="Query - pivot table 2"/>
          <x15:modelTable id="pivot table 2  2_c7397e0c-48b5-4360-97e2-a7292b842402" name="pivot table 2  2" connection="Query - pivot table 2 (2)"/>
          <x15:modelTable id="PIVOT TABLES  2_a55cec94-a7a6-42ca-98cf-087ffc78c1fb" name="PIVOT TABLES  2" connection="Query - PIVOT TABLES (2)"/>
          <x15:modelTable id="Data  2_a699c689-6815-41e3-8aa3-6269fde48c50" name="Data  2" connection="Query - Data (2)"/>
          <x15:modelTable id="Dashboard  2_a1d1ab5f-683a-48bb-b288-90e8e33939cc" name="Dashboard  2" connection="Query - Dashboard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8" l="1"/>
  <c r="O5" i="8"/>
  <c r="M5" i="8"/>
  <c r="J5" i="8"/>
  <c r="G5" i="8"/>
  <c r="D4" i="6"/>
  <c r="D6" i="6"/>
  <c r="D5" i="6"/>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2" i="1"/>
  <c r="G95" i="1"/>
  <c r="G70" i="1"/>
  <c r="G82" i="1"/>
  <c r="G54" i="1"/>
  <c r="G83" i="1"/>
  <c r="G89" i="1"/>
  <c r="G74" i="1"/>
  <c r="G67" i="1"/>
  <c r="G92" i="1"/>
  <c r="G78" i="1"/>
  <c r="G60" i="1"/>
  <c r="G44" i="1"/>
  <c r="G48" i="1"/>
  <c r="G24" i="1"/>
  <c r="G19" i="1"/>
  <c r="G38" i="1"/>
  <c r="G15" i="1"/>
  <c r="G4" i="1"/>
  <c r="G98" i="1"/>
  <c r="G99" i="1"/>
  <c r="G100" i="1"/>
  <c r="G101" i="1"/>
  <c r="G58" i="1"/>
  <c r="G96" i="1"/>
  <c r="G71" i="1"/>
  <c r="G84" i="1"/>
  <c r="G55" i="1"/>
  <c r="G85" i="1"/>
  <c r="G90" i="1"/>
  <c r="G75" i="1"/>
  <c r="G68" i="1"/>
  <c r="G93" i="1"/>
  <c r="G79" i="1"/>
  <c r="G61" i="1"/>
  <c r="G45" i="1"/>
  <c r="G49" i="1"/>
  <c r="G25" i="1"/>
  <c r="G20" i="1"/>
  <c r="G39" i="1"/>
  <c r="G16" i="1"/>
  <c r="G5" i="1"/>
  <c r="G43" i="1"/>
  <c r="G64" i="1"/>
  <c r="G63" i="1"/>
  <c r="G59" i="1"/>
  <c r="G97" i="1"/>
  <c r="G72" i="1"/>
  <c r="G86" i="1"/>
  <c r="G56" i="1"/>
  <c r="G87" i="1"/>
  <c r="G91" i="1"/>
  <c r="G47" i="1"/>
  <c r="G66" i="1"/>
  <c r="G65" i="1"/>
  <c r="G51" i="1"/>
  <c r="G88" i="1"/>
  <c r="G76" i="1"/>
  <c r="G69" i="1"/>
  <c r="G94" i="1"/>
  <c r="G80" i="1"/>
  <c r="G62" i="1"/>
  <c r="G46" i="1"/>
  <c r="G73" i="1"/>
  <c r="G81" i="1"/>
  <c r="G52" i="1"/>
  <c r="G53" i="1"/>
  <c r="G42" i="1"/>
  <c r="G77" i="1"/>
  <c r="G50" i="1"/>
  <c r="G26" i="1"/>
  <c r="G21" i="1"/>
  <c r="G40" i="1"/>
  <c r="G17" i="1"/>
  <c r="G6" i="1"/>
  <c r="G37" i="1"/>
  <c r="G23" i="1"/>
  <c r="G3" i="1"/>
  <c r="G2" i="1"/>
  <c r="G14" i="1"/>
  <c r="G35" i="1"/>
  <c r="G18" i="1"/>
  <c r="G36" i="1"/>
  <c r="G27" i="1"/>
  <c r="G29" i="1"/>
  <c r="G12" i="1"/>
  <c r="G28" i="1"/>
  <c r="G34" i="1"/>
  <c r="G9" i="1"/>
  <c r="G13" i="1"/>
  <c r="G22" i="1"/>
  <c r="G30" i="1"/>
  <c r="G32" i="1"/>
  <c r="G31" i="1"/>
  <c r="G41" i="1"/>
  <c r="G7" i="1"/>
  <c r="G10" i="1"/>
  <c r="G8" i="1"/>
  <c r="G33" i="1"/>
  <c r="G11" i="1"/>
  <c r="G57" i="1"/>
  <c r="F95" i="1"/>
  <c r="J95" i="1" s="1"/>
  <c r="F70" i="1"/>
  <c r="J70" i="1" s="1"/>
  <c r="F82" i="1"/>
  <c r="J82" i="1" s="1"/>
  <c r="F54" i="1"/>
  <c r="J54" i="1" s="1"/>
  <c r="F83" i="1"/>
  <c r="J83" i="1" s="1"/>
  <c r="F89" i="1"/>
  <c r="J89" i="1" s="1"/>
  <c r="F74" i="1"/>
  <c r="J74" i="1" s="1"/>
  <c r="F67" i="1"/>
  <c r="J67" i="1" s="1"/>
  <c r="F92" i="1"/>
  <c r="J92" i="1" s="1"/>
  <c r="F78" i="1"/>
  <c r="J78" i="1" s="1"/>
  <c r="F60" i="1"/>
  <c r="J60" i="1" s="1"/>
  <c r="F44" i="1"/>
  <c r="J44" i="1" s="1"/>
  <c r="F48" i="1"/>
  <c r="J48" i="1" s="1"/>
  <c r="F24" i="1"/>
  <c r="J24" i="1" s="1"/>
  <c r="F19" i="1"/>
  <c r="J19" i="1" s="1"/>
  <c r="F38" i="1"/>
  <c r="J38" i="1" s="1"/>
  <c r="F15" i="1"/>
  <c r="J15" i="1" s="1"/>
  <c r="F4" i="1"/>
  <c r="J4" i="1" s="1"/>
  <c r="F98" i="1"/>
  <c r="J98" i="1" s="1"/>
  <c r="F99" i="1"/>
  <c r="J99" i="1" s="1"/>
  <c r="F100" i="1"/>
  <c r="J100" i="1" s="1"/>
  <c r="F101" i="1"/>
  <c r="J101" i="1" s="1"/>
  <c r="F58" i="1"/>
  <c r="J58" i="1" s="1"/>
  <c r="F96" i="1"/>
  <c r="J96" i="1" s="1"/>
  <c r="F71" i="1"/>
  <c r="J71" i="1" s="1"/>
  <c r="F84" i="1"/>
  <c r="J84" i="1" s="1"/>
  <c r="F55" i="1"/>
  <c r="J55" i="1" s="1"/>
  <c r="F85" i="1"/>
  <c r="J85" i="1" s="1"/>
  <c r="F90" i="1"/>
  <c r="J90" i="1" s="1"/>
  <c r="F75" i="1"/>
  <c r="J75" i="1" s="1"/>
  <c r="F68" i="1"/>
  <c r="J68" i="1" s="1"/>
  <c r="F93" i="1"/>
  <c r="J93" i="1" s="1"/>
  <c r="F79" i="1"/>
  <c r="J79" i="1" s="1"/>
  <c r="F61" i="1"/>
  <c r="J61" i="1" s="1"/>
  <c r="F45" i="1"/>
  <c r="J45" i="1" s="1"/>
  <c r="F49" i="1"/>
  <c r="J49" i="1" s="1"/>
  <c r="F25" i="1"/>
  <c r="J25" i="1" s="1"/>
  <c r="F20" i="1"/>
  <c r="J20" i="1" s="1"/>
  <c r="F39" i="1"/>
  <c r="J39" i="1" s="1"/>
  <c r="F16" i="1"/>
  <c r="J16" i="1" s="1"/>
  <c r="F5" i="1"/>
  <c r="J5" i="1" s="1"/>
  <c r="F43" i="1"/>
  <c r="J43" i="1" s="1"/>
  <c r="F64" i="1"/>
  <c r="J64" i="1" s="1"/>
  <c r="F63" i="1"/>
  <c r="J63" i="1" s="1"/>
  <c r="F59" i="1"/>
  <c r="J59" i="1" s="1"/>
  <c r="F97" i="1"/>
  <c r="J97" i="1" s="1"/>
  <c r="F72" i="1"/>
  <c r="J72" i="1" s="1"/>
  <c r="F86" i="1"/>
  <c r="J86" i="1" s="1"/>
  <c r="F56" i="1"/>
  <c r="J56" i="1" s="1"/>
  <c r="F87" i="1"/>
  <c r="J87" i="1" s="1"/>
  <c r="F91" i="1"/>
  <c r="J91" i="1" s="1"/>
  <c r="F47" i="1"/>
  <c r="J47" i="1" s="1"/>
  <c r="F66" i="1"/>
  <c r="J66" i="1" s="1"/>
  <c r="F65" i="1"/>
  <c r="J65" i="1" s="1"/>
  <c r="F51" i="1"/>
  <c r="J51" i="1" s="1"/>
  <c r="F88" i="1"/>
  <c r="J88" i="1" s="1"/>
  <c r="F76" i="1"/>
  <c r="J76" i="1" s="1"/>
  <c r="F69" i="1"/>
  <c r="J69" i="1" s="1"/>
  <c r="F94" i="1"/>
  <c r="J94" i="1" s="1"/>
  <c r="F80" i="1"/>
  <c r="J80" i="1" s="1"/>
  <c r="F62" i="1"/>
  <c r="J62" i="1" s="1"/>
  <c r="F46" i="1"/>
  <c r="J46" i="1" s="1"/>
  <c r="F73" i="1"/>
  <c r="J73" i="1" s="1"/>
  <c r="F81" i="1"/>
  <c r="J81" i="1" s="1"/>
  <c r="F52" i="1"/>
  <c r="J52" i="1" s="1"/>
  <c r="F53" i="1"/>
  <c r="J53" i="1" s="1"/>
  <c r="F42" i="1"/>
  <c r="J42" i="1" s="1"/>
  <c r="F77" i="1"/>
  <c r="J77" i="1" s="1"/>
  <c r="F50" i="1"/>
  <c r="J50" i="1" s="1"/>
  <c r="F26" i="1"/>
  <c r="J26" i="1" s="1"/>
  <c r="F21" i="1"/>
  <c r="J21" i="1" s="1"/>
  <c r="F40" i="1"/>
  <c r="J40" i="1" s="1"/>
  <c r="F17" i="1"/>
  <c r="J17" i="1" s="1"/>
  <c r="F6" i="1"/>
  <c r="J6" i="1" s="1"/>
  <c r="F37" i="1"/>
  <c r="J37" i="1" s="1"/>
  <c r="F23" i="1"/>
  <c r="J23" i="1" s="1"/>
  <c r="F3" i="1"/>
  <c r="J3" i="1" s="1"/>
  <c r="F2" i="1"/>
  <c r="J2" i="1" s="1"/>
  <c r="F14" i="1"/>
  <c r="J14" i="1" s="1"/>
  <c r="F35" i="1"/>
  <c r="J35" i="1" s="1"/>
  <c r="F18" i="1"/>
  <c r="J18" i="1" s="1"/>
  <c r="F36" i="1"/>
  <c r="J36" i="1" s="1"/>
  <c r="F27" i="1"/>
  <c r="J27" i="1" s="1"/>
  <c r="F29" i="1"/>
  <c r="J29" i="1" s="1"/>
  <c r="F12" i="1"/>
  <c r="J12" i="1" s="1"/>
  <c r="F28" i="1"/>
  <c r="J28" i="1" s="1"/>
  <c r="F34" i="1"/>
  <c r="J34" i="1" s="1"/>
  <c r="F9" i="1"/>
  <c r="J9" i="1" s="1"/>
  <c r="F13" i="1"/>
  <c r="J13" i="1" s="1"/>
  <c r="F22" i="1"/>
  <c r="J22" i="1" s="1"/>
  <c r="F30" i="1"/>
  <c r="J30" i="1" s="1"/>
  <c r="F32" i="1"/>
  <c r="J32" i="1" s="1"/>
  <c r="F31" i="1"/>
  <c r="J31" i="1" s="1"/>
  <c r="F41" i="1"/>
  <c r="J41" i="1" s="1"/>
  <c r="F7" i="1"/>
  <c r="J7" i="1" s="1"/>
  <c r="F10" i="1"/>
  <c r="J10" i="1" s="1"/>
  <c r="F8" i="1"/>
  <c r="J8" i="1" s="1"/>
  <c r="F33" i="1"/>
  <c r="J33" i="1" s="1"/>
  <c r="F11" i="1"/>
  <c r="J11" i="1" s="1"/>
  <c r="F57" i="1"/>
  <c r="J5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F3235B-D206-4F42-83EC-F0799C7D8F75}" name="Query - Dashboard" description="Connection to the 'Dashboard' query in the workbook." type="100" refreshedVersion="8" minRefreshableVersion="5">
    <extLst>
      <ext xmlns:x15="http://schemas.microsoft.com/office/spreadsheetml/2010/11/main" uri="{DE250136-89BD-433C-8126-D09CA5730AF9}">
        <x15:connection id="a28d614e-e88c-4a20-be56-04d842072c50"/>
      </ext>
    </extLst>
  </connection>
  <connection id="2" xr16:uid="{7820D89A-D04B-4157-A133-71119A2655F1}" name="Query - Dashboard (2)" description="Connection to the 'Dashboard (2)' query in the workbook." type="100" refreshedVersion="8" minRefreshableVersion="5">
    <extLst>
      <ext xmlns:x15="http://schemas.microsoft.com/office/spreadsheetml/2010/11/main" uri="{DE250136-89BD-433C-8126-D09CA5730AF9}">
        <x15:connection id="875ed1b8-eeeb-4f07-abbd-205f55c92fb1"/>
      </ext>
    </extLst>
  </connection>
  <connection id="3" xr16:uid="{5BC410C4-B28E-4455-B6C7-079D7D9C42F1}" name="Query - Data" description="Connection to the 'Data' query in the workbook." type="100" refreshedVersion="8" minRefreshableVersion="5">
    <extLst>
      <ext xmlns:x15="http://schemas.microsoft.com/office/spreadsheetml/2010/11/main" uri="{DE250136-89BD-433C-8126-D09CA5730AF9}">
        <x15:connection id="c9b52499-4c2d-4166-88e6-7511e5b96687"/>
      </ext>
    </extLst>
  </connection>
  <connection id="4" xr16:uid="{ED41F3DB-2394-44EA-B67A-5B30C9C17477}" name="Query - Data (2)" description="Connection to the 'Data (2)' query in the workbook." type="100" refreshedVersion="8" minRefreshableVersion="5">
    <extLst>
      <ext xmlns:x15="http://schemas.microsoft.com/office/spreadsheetml/2010/11/main" uri="{DE250136-89BD-433C-8126-D09CA5730AF9}">
        <x15:connection id="dd684b42-3947-4970-833d-fe3a27b39e3c"/>
      </ext>
    </extLst>
  </connection>
  <connection id="5" xr16:uid="{72425F06-B43B-402F-88DA-0E718B1B43A2}" name="Query - pivot table 2" description="Connection to the 'pivot table 2' query in the workbook." type="100" refreshedVersion="8" minRefreshableVersion="5">
    <extLst>
      <ext xmlns:x15="http://schemas.microsoft.com/office/spreadsheetml/2010/11/main" uri="{DE250136-89BD-433C-8126-D09CA5730AF9}">
        <x15:connection id="51c63b28-90a6-4b12-bdce-50f8593f02f6"/>
      </ext>
    </extLst>
  </connection>
  <connection id="6" xr16:uid="{043D8E28-9AA7-45BF-A790-3E6DAA614991}" name="Query - pivot table 2 (2)" description="Connection to the 'pivot table 2 (2)' query in the workbook." type="100" refreshedVersion="8" minRefreshableVersion="5">
    <extLst>
      <ext xmlns:x15="http://schemas.microsoft.com/office/spreadsheetml/2010/11/main" uri="{DE250136-89BD-433C-8126-D09CA5730AF9}">
        <x15:connection id="24654551-5571-4fd9-a4cf-d56eec57400c"/>
      </ext>
    </extLst>
  </connection>
  <connection id="7" xr16:uid="{73510CBE-696C-4291-81D6-82B54160943B}" name="Query - PIVOT TABLES" description="Connection to the 'PIVOT TABLES' query in the workbook." type="100" refreshedVersion="8" minRefreshableVersion="5">
    <extLst>
      <ext xmlns:x15="http://schemas.microsoft.com/office/spreadsheetml/2010/11/main" uri="{DE250136-89BD-433C-8126-D09CA5730AF9}">
        <x15:connection id="61a94bff-983c-4fc9-a9c6-eb4a389eec91"/>
      </ext>
    </extLst>
  </connection>
  <connection id="8" xr16:uid="{6AC77633-6B81-4E60-9E72-E1BDB922BF06}" name="Query - PIVOT TABLES (2)" description="Connection to the 'PIVOT TABLES (2)' query in the workbook." type="100" refreshedVersion="8" minRefreshableVersion="5">
    <extLst>
      <ext xmlns:x15="http://schemas.microsoft.com/office/spreadsheetml/2010/11/main" uri="{DE250136-89BD-433C-8126-D09CA5730AF9}">
        <x15:connection id="a82c774f-eb64-4f26-bb7f-a2058373ce04"/>
      </ext>
    </extLst>
  </connection>
  <connection id="9" xr16:uid="{7B62C2E3-5D68-473D-B02C-314337ACD2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<sst xmlns="http://schemas.openxmlformats.org/spreadsheetml/2006/main" count="542" uniqueCount="131">
  <si>
    <t>Tasks &amp; Questions</t>
  </si>
  <si>
    <t>Calculate repayment rate (%) and average daily kWh usage for each cohort/month and compute overall portfolio repayment rate &amp; average daily usage.</t>
  </si>
  <si>
    <t>Segment cohorts/months into risk tiers (Low, Medium, High) using repayment percentage and average daily usage, and justify the thresholds.</t>
  </si>
  <si>
    <t>Analyze arrears distribution across the portfolio and calculate the contribution percentage per cohort/month</t>
  </si>
  <si>
    <t>Design a 2026 month-on-month dashboard for the field team, displaying sales, usage, repayment rate, arrears, and high-risk customers, including their arrears and contribution to overall portfolio arrears. Use charts and graphs to clearly present the data, and feel free to add any additional insights that may help</t>
  </si>
  <si>
    <t>Propose three data-driven operational recommendations supported by quantitative findings, linking each recommendation to specific analytical insights.</t>
  </si>
  <si>
    <t>Sale Date</t>
  </si>
  <si>
    <t>Customer Name</t>
  </si>
  <si>
    <t>Weekly Due (KES)</t>
  </si>
  <si>
    <t>Amount Paid (KES)</t>
  </si>
  <si>
    <t>Total kWh Used (Weekly)</t>
  </si>
  <si>
    <t>Active Days</t>
  </si>
  <si>
    <t>Tabitha Wanjiku</t>
  </si>
  <si>
    <t>Lydia Wanjiku</t>
  </si>
  <si>
    <t>Neema Mussa</t>
  </si>
  <si>
    <t>Kelvin Mutiso</t>
  </si>
  <si>
    <t>William Mboya</t>
  </si>
  <si>
    <t>Samuel Abdallah</t>
  </si>
  <si>
    <t>Peter Naliaka</t>
  </si>
  <si>
    <t>Dennis Naliaka</t>
  </si>
  <si>
    <t>Kelvin Wanjiku</t>
  </si>
  <si>
    <t>Leah Onyango</t>
  </si>
  <si>
    <t>Irene Ochieng</t>
  </si>
  <si>
    <t>Brian Njoroge</t>
  </si>
  <si>
    <t>Nancy Onyango</t>
  </si>
  <si>
    <t>Sharon Akinyi</t>
  </si>
  <si>
    <t>Quincy Chebet</t>
  </si>
  <si>
    <t>Faith Kiptoo</t>
  </si>
  <si>
    <t>Diana Mwangi</t>
  </si>
  <si>
    <t>Salma Atieno</t>
  </si>
  <si>
    <t>William Hassan</t>
  </si>
  <si>
    <t>Faith Mutiso</t>
  </si>
  <si>
    <t>Rose Said</t>
  </si>
  <si>
    <t>Irene Mutiso</t>
  </si>
  <si>
    <t>James Kamau</t>
  </si>
  <si>
    <t>Nancy Chebet</t>
  </si>
  <si>
    <t>William Kiprotich</t>
  </si>
  <si>
    <t>Henry Mussa</t>
  </si>
  <si>
    <t>John Said</t>
  </si>
  <si>
    <t>Victor Onyango</t>
  </si>
  <si>
    <t>Asha Otieno</t>
  </si>
  <si>
    <t>Naomi Kimani</t>
  </si>
  <si>
    <t>Lucy Njoroge</t>
  </si>
  <si>
    <t>Henry Abdallah</t>
  </si>
  <si>
    <t>Peter Chepkemoi</t>
  </si>
  <si>
    <t>Moses Mutiso</t>
  </si>
  <si>
    <t>Brian Kimani</t>
  </si>
  <si>
    <t>Nancy Wanjiku</t>
  </si>
  <si>
    <t>Stephen Mussa</t>
  </si>
  <si>
    <t>Fatma Joseph</t>
  </si>
  <si>
    <t>Mary Ochieng</t>
  </si>
  <si>
    <t>Leah Omondi</t>
  </si>
  <si>
    <t>James Njoroge</t>
  </si>
  <si>
    <t>Moses Njoroge</t>
  </si>
  <si>
    <t>Oscar Mussa</t>
  </si>
  <si>
    <t>James Kariuki</t>
  </si>
  <si>
    <t>Lydia Naliaka</t>
  </si>
  <si>
    <t>Caroline Wairimu</t>
  </si>
  <si>
    <t>Rose Chepkemoi</t>
  </si>
  <si>
    <t>Lydia Atieno</t>
  </si>
  <si>
    <t>William Ochieng</t>
  </si>
  <si>
    <t>Alfred Wairimu</t>
  </si>
  <si>
    <t>Mercy Maina</t>
  </si>
  <si>
    <t>Rose Atieno</t>
  </si>
  <si>
    <t>Leah Njoroge</t>
  </si>
  <si>
    <t>Victor Kiprotich</t>
  </si>
  <si>
    <t>Henry Odhiambo</t>
  </si>
  <si>
    <t>Victor Hassan</t>
  </si>
  <si>
    <t>Jacob Atieno</t>
  </si>
  <si>
    <t>Daniel Abdallah</t>
  </si>
  <si>
    <t>Joseph Mussa</t>
  </si>
  <si>
    <t>Fatma Odhiambo</t>
  </si>
  <si>
    <t>Patrick Maina</t>
  </si>
  <si>
    <t>Alfred Joseph</t>
  </si>
  <si>
    <t>Hassan Atieno</t>
  </si>
  <si>
    <t>Quincy Wairimu</t>
  </si>
  <si>
    <t>Rose Kimani</t>
  </si>
  <si>
    <t>Samuel Ochieng</t>
  </si>
  <si>
    <t>Mercy Joseph</t>
  </si>
  <si>
    <t>Naomi Hassan</t>
  </si>
  <si>
    <t>Lydia Onyango</t>
  </si>
  <si>
    <t>Rose Njeri</t>
  </si>
  <si>
    <t>Leah Maina</t>
  </si>
  <si>
    <t>Alfred Mwangi</t>
  </si>
  <si>
    <t>Diana Onyango</t>
  </si>
  <si>
    <t>John Kiprotich</t>
  </si>
  <si>
    <t>John Akinyi</t>
  </si>
  <si>
    <t>Rose Chebet</t>
  </si>
  <si>
    <t>Irene Maina</t>
  </si>
  <si>
    <t>Fatma Njeri</t>
  </si>
  <si>
    <t>Martin Abdallah</t>
  </si>
  <si>
    <t>Collins Ochieng</t>
  </si>
  <si>
    <t>James Kimani</t>
  </si>
  <si>
    <t>Henry Kiprotich</t>
  </si>
  <si>
    <t>William Kamau</t>
  </si>
  <si>
    <t>Alfred Abdallah</t>
  </si>
  <si>
    <t>Dennis Kariuki</t>
  </si>
  <si>
    <t>Victor Mwangi</t>
  </si>
  <si>
    <t>John Kimani</t>
  </si>
  <si>
    <t>Stephen Mboya</t>
  </si>
  <si>
    <t>Kelvin Joseph</t>
  </si>
  <si>
    <t>Alfred Njoroge</t>
  </si>
  <si>
    <t>Tabitha Said</t>
  </si>
  <si>
    <t>Joseph Chebet</t>
  </si>
  <si>
    <t>Mercy Kiprotich</t>
  </si>
  <si>
    <t>Neema Chebet</t>
  </si>
  <si>
    <t>James Mwende</t>
  </si>
  <si>
    <t>Month</t>
  </si>
  <si>
    <t>ARREAS</t>
  </si>
  <si>
    <t>Rate of payment%</t>
  </si>
  <si>
    <t>Grand Total</t>
  </si>
  <si>
    <t>Jan</t>
  </si>
  <si>
    <t>Feb</t>
  </si>
  <si>
    <t>Mar</t>
  </si>
  <si>
    <t>Sum of Active Days</t>
  </si>
  <si>
    <t>Average of Rate of payment%</t>
  </si>
  <si>
    <t xml:space="preserve">Months </t>
  </si>
  <si>
    <t>Sum of ARREAS</t>
  </si>
  <si>
    <t>Sum of Amount Paid (KES)</t>
  </si>
  <si>
    <t>Average of Active Days</t>
  </si>
  <si>
    <t>Risk tires in payment</t>
  </si>
  <si>
    <t>Arreas  across the Months</t>
  </si>
  <si>
    <t xml:space="preserve">Risk customers </t>
  </si>
  <si>
    <t>Sum of Weekly Due (KES)</t>
  </si>
  <si>
    <t>Row Labels</t>
  </si>
  <si>
    <t>Average of Total kWh Used (Weekly)</t>
  </si>
  <si>
    <t>(blank)</t>
  </si>
  <si>
    <t>Count of Customer Name</t>
  </si>
  <si>
    <t>Months</t>
  </si>
  <si>
    <t xml:space="preserve">Names </t>
  </si>
  <si>
    <t>Sum of ARREAS (KES)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</si>
</sst>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71" formatCode="0.0"/>
  </numFmts>
  <fonts count="13" x14ac:knownFonts="1">
    <font>
      <sz val="11"/>
      <color theme="1"/>
      <name val="Aptos Narrow"/>
      <family val="2"/>
      <scheme val="minor"/>
    </font>
    <font>
      <b/>
      <sz val="11"/>
      <color theme="1"/>
      <name val="Aptos Narrow"/>
      <family val="2"/>
      <scheme val="minor"/>
    </font>
    <font>
      <sz val="10"/>
      <color theme="1"/>
      <name val="Calibri"/>
      <family val="2"/>
    </font>
    <font>
      <b/>
      <sz val="10"/>
      <name val="Calibri"/>
      <family val="2"/>
    </font>
    <font>
      <sz val="10"/>
      <color theme="1"/>
      <name val="Aptos Narrow"/>
      <family val="2"/>
      <scheme val="minor"/>
    </font>
    <font>
      <b/>
      <sz val="10"/>
      <color theme="1"/>
      <name val="Aptos Narrow"/>
      <family val="2"/>
      <scheme val="minor"/>
    </font>
    <font>
      <sz val="11"/>
      <color theme="1"/>
      <name val="Aptos Narrow"/>
      <family val="2"/>
      <scheme val="minor"/>
    </font>
    <font>
      <b/>
      <sz val="22"/>
      <color theme="1"/>
      <name val="Aptos Narrow"/>
      <family val="2"/>
      <scheme val="minor"/>
    </font>
    <font>
      <b/>
      <sz val="20"/>
      <color theme="6"/>
      <name val="Aptos Narrow"/>
      <family val="2"/>
      <scheme val="minor"/>
    </font>
    <font>
      <b/>
      <sz val="20"/>
      <color theme="9"/>
      <name val="Aptos Narrow"/>
      <family val="2"/>
      <scheme val="minor"/>
    </font>
    <font>
      <b/>
      <sz val="24"/>
      <color theme="0" tint="-0.499984740745262"/>
      <name val="Aptos Narrow"/>
      <family val="2"/>
      <scheme val="minor"/>
    </font>
    <font>
      <b/>
      <sz val="14"/>
      <color theme="1"/>
      <name val="Aptos Narrow"/>
      <family val="2"/>
      <scheme val="minor"/>
    </font>
    <font>
      <b/>
      <sz val="11"/>
      <color theme="8"/>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23">
    <xf numFmtId="0" fontId="0" fillId="0" borderId="0" xfId="0"/>
    <xf numFmtId="0" fontId="1" fillId="0" borderId="0" xfId="0" applyFont="1"/>
    <xf numFmtId="0" fontId="2" fillId="0" borderId="0" xfId="0" applyFont="1"/>
    <xf numFmtId="0" fontId="2" fillId="0" borderId="0" xfId="0" applyFont="1" applyAlignment="1">
      <alignment vertical="center"/>
    </xf>
    <xf numFmtId="0" fontId="3" fillId="0" borderId="0" xfId="0" applyFont="1" applyAlignment="1">
      <alignment vertical="center"/>
    </xf>
    <xf numFmtId="164" fontId="0" fillId="0" borderId="0" xfId="0" applyNumberFormat="1"/>
    <xf numFmtId="0" fontId="4" fillId="0" borderId="0" xfId="0" applyFont="1"/>
    <xf numFmtId="0" fontId="4" fillId="0" borderId="0" xfId="0" applyFont="1" applyAlignment="1">
      <alignment wrapText="1"/>
    </xf>
    <xf numFmtId="0" fontId="4" fillId="0" borderId="0" xfId="0" applyFont="1" applyAlignment="1">
      <alignment horizontal="left" vertical="center" indent="1"/>
    </xf>
    <xf numFmtId="0" fontId="5" fillId="0" borderId="0" xfId="0" applyFont="1"/>
    <xf numFmtId="2" fontId="0" fillId="0" borderId="0" xfId="0" applyNumberFormat="1"/>
    <xf numFmtId="2" fontId="1" fillId="0" borderId="0" xfId="1" applyNumberFormat="1" applyFont="1"/>
    <xf numFmtId="2"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8" fillId="0" borderId="0" xfId="0" applyFont="1"/>
    <xf numFmtId="0" fontId="7" fillId="2" borderId="0" xfId="0" applyFont="1" applyFill="1"/>
    <xf numFmtId="0" fontId="9" fillId="0" borderId="0" xfId="0" applyFont="1"/>
    <xf numFmtId="0" fontId="10" fillId="0" borderId="0" xfId="0" applyFont="1"/>
    <xf numFmtId="171" fontId="0" fillId="0" borderId="0" xfId="0" applyNumberFormat="1"/>
    <xf numFmtId="0" fontId="11" fillId="3" borderId="0" xfId="0" applyFont="1" applyFill="1"/>
    <xf numFmtId="0" fontId="12" fillId="0" borderId="0" xfId="0" applyFont="1"/>
  </cellXfs>
  <cellStyles count="2">
    <cellStyle name="Normal" xfId="0" builtinId="0"/>
    <cellStyle name="Percent" xfId="1" builtinId="5"/>
  </cellStyles>
  <dxfs count="22">
    <dxf>
      <fill>
        <patternFill>
          <bgColor theme="3" tint="0.499984740745262"/>
        </patternFill>
      </fill>
    </dxf>
    <dxf>
      <font>
        <color rgb="FF9C0006"/>
      </font>
      <fill>
        <patternFill>
          <bgColor rgb="FFFFC7CE"/>
        </patternFill>
      </fill>
    </dxf>
    <dxf>
      <fill>
        <patternFill>
          <bgColor rgb="FFFF0000"/>
        </patternFill>
      </fill>
    </dxf>
    <dxf>
      <fill>
        <patternFill>
          <bgColor theme="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numFmt numFmtId="2" formatCode="0.00"/>
    </dxf>
    <dxf>
      <numFmt numFmtId="2" formatCode="0.00"/>
    </dxf>
    <dxf>
      <numFmt numFmtId="2" formatCode="0.00"/>
    </dxf>
    <dxf>
      <numFmt numFmtId="2" formatCode="0.00"/>
    </dxf>
    <dxf>
      <numFmt numFmtId="171" formatCode="0.0"/>
    </dxf>
    <dxf>
      <numFmt numFmtId="171" formatCode="0.0"/>
    </dxf>
    <dxf>
      <numFmt numFmtId="171" formatCode="0.0"/>
    </dxf>
  </dxfs>
  <tableStyles count="4" defaultTableStyle="Table Style 2" defaultPivotStyle="PivotStyleLight16">
    <tableStyle name="Slicer Style 1" pivot="0" table="0" count="0" xr9:uid="{4DFF5AD3-30FF-455A-BFC8-A04A59019089}"/>
    <tableStyle name="Slicer Style 2" pivot="0" table="0" count="0" xr9:uid="{1C833D31-E69F-46B8-ACFC-B6B7C5FD8E41}"/>
    <tableStyle name="Table Style 1" pivot="0" count="1" xr9:uid="{47CCC869-BD92-4AA3-A8BF-417F93BC5132}">
      <tableStyleElement type="totalRow" dxfId="0"/>
    </tableStyle>
    <tableStyle name="Table Style 2" pivot="0" count="0" xr9:uid="{AAA210C4-E569-4CED-BA93-88708BD76728}"/>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Analyst_Intern-Case_Study 19.02.2026.xlsx]PIVOT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TABLES'!$E$39:$E$42</c:f>
              <c:strCache>
                <c:ptCount val="3"/>
                <c:pt idx="0">
                  <c:v>Jan</c:v>
                </c:pt>
                <c:pt idx="1">
                  <c:v>Feb</c:v>
                </c:pt>
                <c:pt idx="2">
                  <c:v>Mar</c:v>
                </c:pt>
              </c:strCache>
            </c:strRef>
          </c:cat>
          <c:val>
            <c:numRef>
              <c:f>'PIVOT TABLES'!$F$39:$F$42</c:f>
              <c:numCache>
                <c:formatCode>General</c:formatCode>
                <c:ptCount val="3"/>
                <c:pt idx="0">
                  <c:v>18</c:v>
                </c:pt>
                <c:pt idx="1">
                  <c:v>53</c:v>
                </c:pt>
                <c:pt idx="2">
                  <c:v>29</c:v>
                </c:pt>
              </c:numCache>
            </c:numRef>
          </c:val>
          <c:extLst>
            <c:ext xmlns:c16="http://schemas.microsoft.com/office/drawing/2014/chart" uri="{C3380CC4-5D6E-409C-BE32-E72D297353CC}">
              <c16:uniqueId val="{00000000-F6F1-4844-A215-A5FBDB42C45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Analyst_Intern-Case_Study 19.02.2026.xlsx]PIVOT TABLES!PivotTable3</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Sum of Amount Paid (KES)</c:v>
                </c:pt>
              </c:strCache>
            </c:strRef>
          </c:tx>
          <c:spPr>
            <a:solidFill>
              <a:schemeClr val="accent1"/>
            </a:solidFill>
            <a:ln>
              <a:noFill/>
            </a:ln>
            <a:effectLst/>
          </c:spPr>
          <c:invertIfNegative val="0"/>
          <c:cat>
            <c:strRef>
              <c:f>'PIVOT TABLES'!$A$13:$A$16</c:f>
              <c:strCache>
                <c:ptCount val="3"/>
                <c:pt idx="0">
                  <c:v>Feb</c:v>
                </c:pt>
                <c:pt idx="1">
                  <c:v>Mar</c:v>
                </c:pt>
                <c:pt idx="2">
                  <c:v>(blank)</c:v>
                </c:pt>
              </c:strCache>
            </c:strRef>
          </c:cat>
          <c:val>
            <c:numRef>
              <c:f>'PIVOT TABLES'!$B$13:$B$16</c:f>
              <c:numCache>
                <c:formatCode>General</c:formatCode>
                <c:ptCount val="3"/>
                <c:pt idx="0">
                  <c:v>19420</c:v>
                </c:pt>
                <c:pt idx="1">
                  <c:v>13234</c:v>
                </c:pt>
              </c:numCache>
            </c:numRef>
          </c:val>
          <c:extLst>
            <c:ext xmlns:c16="http://schemas.microsoft.com/office/drawing/2014/chart" uri="{C3380CC4-5D6E-409C-BE32-E72D297353CC}">
              <c16:uniqueId val="{00000000-8388-4978-BF9B-24A3AB3C6977}"/>
            </c:ext>
          </c:extLst>
        </c:ser>
        <c:ser>
          <c:idx val="1"/>
          <c:order val="1"/>
          <c:tx>
            <c:strRef>
              <c:f>'PIVOT TABLES'!$C$12</c:f>
              <c:strCache>
                <c:ptCount val="1"/>
                <c:pt idx="0">
                  <c:v>Sum of ARREAS</c:v>
                </c:pt>
              </c:strCache>
            </c:strRef>
          </c:tx>
          <c:spPr>
            <a:solidFill>
              <a:schemeClr val="accent2"/>
            </a:solidFill>
            <a:ln>
              <a:noFill/>
            </a:ln>
            <a:effectLst/>
          </c:spPr>
          <c:invertIfNegative val="0"/>
          <c:cat>
            <c:strRef>
              <c:f>'PIVOT TABLES'!$A$13:$A$16</c:f>
              <c:strCache>
                <c:ptCount val="3"/>
                <c:pt idx="0">
                  <c:v>Feb</c:v>
                </c:pt>
                <c:pt idx="1">
                  <c:v>Mar</c:v>
                </c:pt>
                <c:pt idx="2">
                  <c:v>(blank)</c:v>
                </c:pt>
              </c:strCache>
            </c:strRef>
          </c:cat>
          <c:val>
            <c:numRef>
              <c:f>'PIVOT TABLES'!$C$13:$C$16</c:f>
              <c:numCache>
                <c:formatCode>General</c:formatCode>
                <c:ptCount val="3"/>
                <c:pt idx="0">
                  <c:v>17680</c:v>
                </c:pt>
                <c:pt idx="1">
                  <c:v>7066</c:v>
                </c:pt>
              </c:numCache>
            </c:numRef>
          </c:val>
          <c:extLst>
            <c:ext xmlns:c16="http://schemas.microsoft.com/office/drawing/2014/chart" uri="{C3380CC4-5D6E-409C-BE32-E72D297353CC}">
              <c16:uniqueId val="{00000001-8388-4978-BF9B-24A3AB3C6977}"/>
            </c:ext>
          </c:extLst>
        </c:ser>
        <c:ser>
          <c:idx val="2"/>
          <c:order val="2"/>
          <c:tx>
            <c:strRef>
              <c:f>'PIVOT TABLES'!$D$12</c:f>
              <c:strCache>
                <c:ptCount val="1"/>
                <c:pt idx="0">
                  <c:v>Sum of Weekly Due (KES)</c:v>
                </c:pt>
              </c:strCache>
            </c:strRef>
          </c:tx>
          <c:spPr>
            <a:solidFill>
              <a:schemeClr val="accent3"/>
            </a:solidFill>
            <a:ln>
              <a:noFill/>
            </a:ln>
            <a:effectLst/>
          </c:spPr>
          <c:invertIfNegative val="0"/>
          <c:cat>
            <c:strRef>
              <c:f>'PIVOT TABLES'!$A$13:$A$16</c:f>
              <c:strCache>
                <c:ptCount val="3"/>
                <c:pt idx="0">
                  <c:v>Feb</c:v>
                </c:pt>
                <c:pt idx="1">
                  <c:v>Mar</c:v>
                </c:pt>
                <c:pt idx="2">
                  <c:v>(blank)</c:v>
                </c:pt>
              </c:strCache>
            </c:strRef>
          </c:cat>
          <c:val>
            <c:numRef>
              <c:f>'PIVOT TABLES'!$D$13:$D$16</c:f>
              <c:numCache>
                <c:formatCode>General</c:formatCode>
                <c:ptCount val="3"/>
                <c:pt idx="0">
                  <c:v>37100</c:v>
                </c:pt>
                <c:pt idx="1">
                  <c:v>20300</c:v>
                </c:pt>
              </c:numCache>
            </c:numRef>
          </c:val>
          <c:extLst>
            <c:ext xmlns:c16="http://schemas.microsoft.com/office/drawing/2014/chart" uri="{C3380CC4-5D6E-409C-BE32-E72D297353CC}">
              <c16:uniqueId val="{00000002-8388-4978-BF9B-24A3AB3C6977}"/>
            </c:ext>
          </c:extLst>
        </c:ser>
        <c:ser>
          <c:idx val="3"/>
          <c:order val="3"/>
          <c:tx>
            <c:strRef>
              <c:f>'PIVOT TABLES'!$E$12</c:f>
              <c:strCache>
                <c:ptCount val="1"/>
                <c:pt idx="0">
                  <c:v>Average of Rate of payment%</c:v>
                </c:pt>
              </c:strCache>
            </c:strRef>
          </c:tx>
          <c:spPr>
            <a:solidFill>
              <a:schemeClr val="accent4"/>
            </a:solidFill>
            <a:ln>
              <a:noFill/>
            </a:ln>
            <a:effectLst/>
          </c:spPr>
          <c:invertIfNegative val="0"/>
          <c:cat>
            <c:strRef>
              <c:f>'PIVOT TABLES'!$A$13:$A$16</c:f>
              <c:strCache>
                <c:ptCount val="3"/>
                <c:pt idx="0">
                  <c:v>Feb</c:v>
                </c:pt>
                <c:pt idx="1">
                  <c:v>Mar</c:v>
                </c:pt>
                <c:pt idx="2">
                  <c:v>(blank)</c:v>
                </c:pt>
              </c:strCache>
            </c:strRef>
          </c:cat>
          <c:val>
            <c:numRef>
              <c:f>'PIVOT TABLES'!$E$13:$E$16</c:f>
              <c:numCache>
                <c:formatCode>General</c:formatCode>
                <c:ptCount val="3"/>
                <c:pt idx="0">
                  <c:v>52.345013477088948</c:v>
                </c:pt>
                <c:pt idx="1">
                  <c:v>65.192118226600996</c:v>
                </c:pt>
              </c:numCache>
            </c:numRef>
          </c:val>
          <c:extLst>
            <c:ext xmlns:c16="http://schemas.microsoft.com/office/drawing/2014/chart" uri="{C3380CC4-5D6E-409C-BE32-E72D297353CC}">
              <c16:uniqueId val="{00000003-8388-4978-BF9B-24A3AB3C6977}"/>
            </c:ext>
          </c:extLst>
        </c:ser>
        <c:ser>
          <c:idx val="4"/>
          <c:order val="4"/>
          <c:tx>
            <c:strRef>
              <c:f>'PIVOT TABLES'!$F$12</c:f>
              <c:strCache>
                <c:ptCount val="1"/>
                <c:pt idx="0">
                  <c:v>Average of Total kWh Used (Weekly)</c:v>
                </c:pt>
              </c:strCache>
            </c:strRef>
          </c:tx>
          <c:spPr>
            <a:solidFill>
              <a:schemeClr val="accent5"/>
            </a:solidFill>
            <a:ln>
              <a:noFill/>
            </a:ln>
            <a:effectLst/>
          </c:spPr>
          <c:invertIfNegative val="0"/>
          <c:cat>
            <c:strRef>
              <c:f>'PIVOT TABLES'!$A$13:$A$16</c:f>
              <c:strCache>
                <c:ptCount val="3"/>
                <c:pt idx="0">
                  <c:v>Feb</c:v>
                </c:pt>
                <c:pt idx="1">
                  <c:v>Mar</c:v>
                </c:pt>
                <c:pt idx="2">
                  <c:v>(blank)</c:v>
                </c:pt>
              </c:strCache>
            </c:strRef>
          </c:cat>
          <c:val>
            <c:numRef>
              <c:f>'PIVOT TABLES'!$F$13:$F$16</c:f>
              <c:numCache>
                <c:formatCode>General</c:formatCode>
                <c:ptCount val="3"/>
                <c:pt idx="0">
                  <c:v>8.2528301886792459</c:v>
                </c:pt>
                <c:pt idx="1">
                  <c:v>6.2448275862068954</c:v>
                </c:pt>
              </c:numCache>
            </c:numRef>
          </c:val>
          <c:extLst>
            <c:ext xmlns:c16="http://schemas.microsoft.com/office/drawing/2014/chart" uri="{C3380CC4-5D6E-409C-BE32-E72D297353CC}">
              <c16:uniqueId val="{00000004-8388-4978-BF9B-24A3AB3C6977}"/>
            </c:ext>
          </c:extLst>
        </c:ser>
        <c:ser>
          <c:idx val="5"/>
          <c:order val="5"/>
          <c:tx>
            <c:strRef>
              <c:f>'PIVOT TABLES'!$G$12</c:f>
              <c:strCache>
                <c:ptCount val="1"/>
                <c:pt idx="0">
                  <c:v>Sum of Active Days</c:v>
                </c:pt>
              </c:strCache>
            </c:strRef>
          </c:tx>
          <c:spPr>
            <a:solidFill>
              <a:schemeClr val="accent6"/>
            </a:solidFill>
            <a:ln>
              <a:noFill/>
            </a:ln>
            <a:effectLst/>
          </c:spPr>
          <c:invertIfNegative val="0"/>
          <c:cat>
            <c:strRef>
              <c:f>'PIVOT TABLES'!$A$13:$A$16</c:f>
              <c:strCache>
                <c:ptCount val="3"/>
                <c:pt idx="0">
                  <c:v>Feb</c:v>
                </c:pt>
                <c:pt idx="1">
                  <c:v>Mar</c:v>
                </c:pt>
                <c:pt idx="2">
                  <c:v>(blank)</c:v>
                </c:pt>
              </c:strCache>
            </c:strRef>
          </c:cat>
          <c:val>
            <c:numRef>
              <c:f>'PIVOT TABLES'!$G$13:$G$16</c:f>
              <c:numCache>
                <c:formatCode>General</c:formatCode>
                <c:ptCount val="3"/>
                <c:pt idx="0">
                  <c:v>230</c:v>
                </c:pt>
                <c:pt idx="1">
                  <c:v>97</c:v>
                </c:pt>
              </c:numCache>
            </c:numRef>
          </c:val>
          <c:extLst>
            <c:ext xmlns:c16="http://schemas.microsoft.com/office/drawing/2014/chart" uri="{C3380CC4-5D6E-409C-BE32-E72D297353CC}">
              <c16:uniqueId val="{00000005-8388-4978-BF9B-24A3AB3C6977}"/>
            </c:ext>
          </c:extLst>
        </c:ser>
        <c:dLbls>
          <c:showLegendKey val="0"/>
          <c:showVal val="0"/>
          <c:showCatName val="0"/>
          <c:showSerName val="0"/>
          <c:showPercent val="0"/>
          <c:showBubbleSize val="0"/>
        </c:dLbls>
        <c:gapWidth val="219"/>
        <c:overlap val="-27"/>
        <c:axId val="1599542656"/>
        <c:axId val="1599543136"/>
      </c:barChart>
      <c:catAx>
        <c:axId val="15995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3136"/>
        <c:crosses val="autoZero"/>
        <c:auto val="1"/>
        <c:lblAlgn val="ctr"/>
        <c:lblOffset val="100"/>
        <c:noMultiLvlLbl val="0"/>
      </c:catAx>
      <c:valAx>
        <c:axId val="159954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Analyst_Intern-Case_Study 19.02.2026.xlsx]PIVOT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6244070408630096E-3"/>
          <c:y val="0.53116447077778639"/>
          <c:w val="0.68329552842591923"/>
          <c:h val="0.46486265949429589"/>
        </c:manualLayout>
      </c:layout>
      <c:pie3DChart>
        <c:varyColors val="1"/>
        <c:ser>
          <c:idx val="0"/>
          <c:order val="0"/>
          <c:tx>
            <c:strRef>
              <c:f>'PIVOT TABLES'!$F$38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DF5-45F9-BB20-7E7D6D109B1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DF5-45F9-BB20-7E7D6D109B1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DF5-45F9-BB20-7E7D6D109B1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TABLES'!$E$39:$E$42</c:f>
              <c:strCache>
                <c:ptCount val="3"/>
                <c:pt idx="0">
                  <c:v>Jan</c:v>
                </c:pt>
                <c:pt idx="1">
                  <c:v>Feb</c:v>
                </c:pt>
                <c:pt idx="2">
                  <c:v>Mar</c:v>
                </c:pt>
              </c:strCache>
            </c:strRef>
          </c:cat>
          <c:val>
            <c:numRef>
              <c:f>'PIVOT TABLES'!$F$39:$F$42</c:f>
              <c:numCache>
                <c:formatCode>General</c:formatCode>
                <c:ptCount val="3"/>
                <c:pt idx="0">
                  <c:v>18</c:v>
                </c:pt>
                <c:pt idx="1">
                  <c:v>53</c:v>
                </c:pt>
                <c:pt idx="2">
                  <c:v>29</c:v>
                </c:pt>
              </c:numCache>
            </c:numRef>
          </c:val>
          <c:extLst>
            <c:ext xmlns:c16="http://schemas.microsoft.com/office/drawing/2014/chart" uri="{C3380CC4-5D6E-409C-BE32-E72D297353CC}">
              <c16:uniqueId val="{00000006-1DF5-45F9-BB20-7E7D6D109B1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Analyst_Intern-Case_Study 19.02.2026.xlsx]PIVOT TABLES!PivotTable3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payments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c:f>
              <c:strCache>
                <c:ptCount val="1"/>
                <c:pt idx="0">
                  <c:v>Sum of Amount Paid (KES)</c:v>
                </c:pt>
              </c:strCache>
            </c:strRef>
          </c:tx>
          <c:spPr>
            <a:solidFill>
              <a:schemeClr val="accent1"/>
            </a:solidFill>
            <a:ln>
              <a:noFill/>
            </a:ln>
            <a:effectLst/>
          </c:spPr>
          <c:invertIfNegative val="0"/>
          <c:cat>
            <c:strRef>
              <c:f>'PIVOT TABLES'!$A$13:$A$16</c:f>
              <c:strCache>
                <c:ptCount val="3"/>
                <c:pt idx="0">
                  <c:v>Feb</c:v>
                </c:pt>
                <c:pt idx="1">
                  <c:v>Mar</c:v>
                </c:pt>
                <c:pt idx="2">
                  <c:v>(blank)</c:v>
                </c:pt>
              </c:strCache>
            </c:strRef>
          </c:cat>
          <c:val>
            <c:numRef>
              <c:f>'PIVOT TABLES'!$B$13:$B$16</c:f>
              <c:numCache>
                <c:formatCode>General</c:formatCode>
                <c:ptCount val="3"/>
                <c:pt idx="0">
                  <c:v>19420</c:v>
                </c:pt>
                <c:pt idx="1">
                  <c:v>13234</c:v>
                </c:pt>
              </c:numCache>
            </c:numRef>
          </c:val>
          <c:extLst>
            <c:ext xmlns:c16="http://schemas.microsoft.com/office/drawing/2014/chart" uri="{C3380CC4-5D6E-409C-BE32-E72D297353CC}">
              <c16:uniqueId val="{00000000-8458-49A1-A323-F6AC3BE044BD}"/>
            </c:ext>
          </c:extLst>
        </c:ser>
        <c:ser>
          <c:idx val="1"/>
          <c:order val="1"/>
          <c:tx>
            <c:strRef>
              <c:f>'PIVOT TABLES'!$C$12</c:f>
              <c:strCache>
                <c:ptCount val="1"/>
                <c:pt idx="0">
                  <c:v>Sum of ARREAS</c:v>
                </c:pt>
              </c:strCache>
            </c:strRef>
          </c:tx>
          <c:spPr>
            <a:solidFill>
              <a:schemeClr val="accent2"/>
            </a:solidFill>
            <a:ln>
              <a:noFill/>
            </a:ln>
            <a:effectLst/>
          </c:spPr>
          <c:invertIfNegative val="0"/>
          <c:cat>
            <c:strRef>
              <c:f>'PIVOT TABLES'!$A$13:$A$16</c:f>
              <c:strCache>
                <c:ptCount val="3"/>
                <c:pt idx="0">
                  <c:v>Feb</c:v>
                </c:pt>
                <c:pt idx="1">
                  <c:v>Mar</c:v>
                </c:pt>
                <c:pt idx="2">
                  <c:v>(blank)</c:v>
                </c:pt>
              </c:strCache>
            </c:strRef>
          </c:cat>
          <c:val>
            <c:numRef>
              <c:f>'PIVOT TABLES'!$C$13:$C$16</c:f>
              <c:numCache>
                <c:formatCode>General</c:formatCode>
                <c:ptCount val="3"/>
                <c:pt idx="0">
                  <c:v>17680</c:v>
                </c:pt>
                <c:pt idx="1">
                  <c:v>7066</c:v>
                </c:pt>
              </c:numCache>
            </c:numRef>
          </c:val>
          <c:extLst>
            <c:ext xmlns:c16="http://schemas.microsoft.com/office/drawing/2014/chart" uri="{C3380CC4-5D6E-409C-BE32-E72D297353CC}">
              <c16:uniqueId val="{00000001-8458-49A1-A323-F6AC3BE044BD}"/>
            </c:ext>
          </c:extLst>
        </c:ser>
        <c:ser>
          <c:idx val="2"/>
          <c:order val="2"/>
          <c:tx>
            <c:strRef>
              <c:f>'PIVOT TABLES'!$D$12</c:f>
              <c:strCache>
                <c:ptCount val="1"/>
                <c:pt idx="0">
                  <c:v>Sum of Weekly Due (KES)</c:v>
                </c:pt>
              </c:strCache>
            </c:strRef>
          </c:tx>
          <c:spPr>
            <a:solidFill>
              <a:schemeClr val="accent3"/>
            </a:solidFill>
            <a:ln>
              <a:noFill/>
            </a:ln>
            <a:effectLst/>
          </c:spPr>
          <c:invertIfNegative val="0"/>
          <c:cat>
            <c:strRef>
              <c:f>'PIVOT TABLES'!$A$13:$A$16</c:f>
              <c:strCache>
                <c:ptCount val="3"/>
                <c:pt idx="0">
                  <c:v>Feb</c:v>
                </c:pt>
                <c:pt idx="1">
                  <c:v>Mar</c:v>
                </c:pt>
                <c:pt idx="2">
                  <c:v>(blank)</c:v>
                </c:pt>
              </c:strCache>
            </c:strRef>
          </c:cat>
          <c:val>
            <c:numRef>
              <c:f>'PIVOT TABLES'!$D$13:$D$16</c:f>
              <c:numCache>
                <c:formatCode>General</c:formatCode>
                <c:ptCount val="3"/>
                <c:pt idx="0">
                  <c:v>37100</c:v>
                </c:pt>
                <c:pt idx="1">
                  <c:v>20300</c:v>
                </c:pt>
              </c:numCache>
            </c:numRef>
          </c:val>
          <c:extLst>
            <c:ext xmlns:c16="http://schemas.microsoft.com/office/drawing/2014/chart" uri="{C3380CC4-5D6E-409C-BE32-E72D297353CC}">
              <c16:uniqueId val="{00000002-8458-49A1-A323-F6AC3BE044BD}"/>
            </c:ext>
          </c:extLst>
        </c:ser>
        <c:ser>
          <c:idx val="3"/>
          <c:order val="3"/>
          <c:tx>
            <c:strRef>
              <c:f>'PIVOT TABLES'!$E$12</c:f>
              <c:strCache>
                <c:ptCount val="1"/>
                <c:pt idx="0">
                  <c:v>Average of Rate of payment%</c:v>
                </c:pt>
              </c:strCache>
            </c:strRef>
          </c:tx>
          <c:spPr>
            <a:solidFill>
              <a:schemeClr val="accent4"/>
            </a:solidFill>
            <a:ln>
              <a:noFill/>
            </a:ln>
            <a:effectLst/>
          </c:spPr>
          <c:invertIfNegative val="0"/>
          <c:cat>
            <c:strRef>
              <c:f>'PIVOT TABLES'!$A$13:$A$16</c:f>
              <c:strCache>
                <c:ptCount val="3"/>
                <c:pt idx="0">
                  <c:v>Feb</c:v>
                </c:pt>
                <c:pt idx="1">
                  <c:v>Mar</c:v>
                </c:pt>
                <c:pt idx="2">
                  <c:v>(blank)</c:v>
                </c:pt>
              </c:strCache>
            </c:strRef>
          </c:cat>
          <c:val>
            <c:numRef>
              <c:f>'PIVOT TABLES'!$E$13:$E$16</c:f>
              <c:numCache>
                <c:formatCode>General</c:formatCode>
                <c:ptCount val="3"/>
                <c:pt idx="0">
                  <c:v>52.345013477088948</c:v>
                </c:pt>
                <c:pt idx="1">
                  <c:v>65.192118226600996</c:v>
                </c:pt>
              </c:numCache>
            </c:numRef>
          </c:val>
          <c:extLst>
            <c:ext xmlns:c16="http://schemas.microsoft.com/office/drawing/2014/chart" uri="{C3380CC4-5D6E-409C-BE32-E72D297353CC}">
              <c16:uniqueId val="{00000003-8458-49A1-A323-F6AC3BE044BD}"/>
            </c:ext>
          </c:extLst>
        </c:ser>
        <c:ser>
          <c:idx val="4"/>
          <c:order val="4"/>
          <c:tx>
            <c:strRef>
              <c:f>'PIVOT TABLES'!$F$12</c:f>
              <c:strCache>
                <c:ptCount val="1"/>
                <c:pt idx="0">
                  <c:v>Average of Total kWh Used (Weekly)</c:v>
                </c:pt>
              </c:strCache>
            </c:strRef>
          </c:tx>
          <c:spPr>
            <a:solidFill>
              <a:schemeClr val="accent5"/>
            </a:solidFill>
            <a:ln>
              <a:noFill/>
            </a:ln>
            <a:effectLst/>
          </c:spPr>
          <c:invertIfNegative val="0"/>
          <c:cat>
            <c:strRef>
              <c:f>'PIVOT TABLES'!$A$13:$A$16</c:f>
              <c:strCache>
                <c:ptCount val="3"/>
                <c:pt idx="0">
                  <c:v>Feb</c:v>
                </c:pt>
                <c:pt idx="1">
                  <c:v>Mar</c:v>
                </c:pt>
                <c:pt idx="2">
                  <c:v>(blank)</c:v>
                </c:pt>
              </c:strCache>
            </c:strRef>
          </c:cat>
          <c:val>
            <c:numRef>
              <c:f>'PIVOT TABLES'!$F$13:$F$16</c:f>
              <c:numCache>
                <c:formatCode>General</c:formatCode>
                <c:ptCount val="3"/>
                <c:pt idx="0">
                  <c:v>8.2528301886792459</c:v>
                </c:pt>
                <c:pt idx="1">
                  <c:v>6.2448275862068954</c:v>
                </c:pt>
              </c:numCache>
            </c:numRef>
          </c:val>
          <c:extLst>
            <c:ext xmlns:c16="http://schemas.microsoft.com/office/drawing/2014/chart" uri="{C3380CC4-5D6E-409C-BE32-E72D297353CC}">
              <c16:uniqueId val="{00000004-8458-49A1-A323-F6AC3BE044BD}"/>
            </c:ext>
          </c:extLst>
        </c:ser>
        <c:ser>
          <c:idx val="5"/>
          <c:order val="5"/>
          <c:tx>
            <c:strRef>
              <c:f>'PIVOT TABLES'!$G$12</c:f>
              <c:strCache>
                <c:ptCount val="1"/>
                <c:pt idx="0">
                  <c:v>Sum of Active Days</c:v>
                </c:pt>
              </c:strCache>
            </c:strRef>
          </c:tx>
          <c:spPr>
            <a:solidFill>
              <a:schemeClr val="accent6"/>
            </a:solidFill>
            <a:ln>
              <a:noFill/>
            </a:ln>
            <a:effectLst/>
          </c:spPr>
          <c:invertIfNegative val="0"/>
          <c:cat>
            <c:strRef>
              <c:f>'PIVOT TABLES'!$A$13:$A$16</c:f>
              <c:strCache>
                <c:ptCount val="3"/>
                <c:pt idx="0">
                  <c:v>Feb</c:v>
                </c:pt>
                <c:pt idx="1">
                  <c:v>Mar</c:v>
                </c:pt>
                <c:pt idx="2">
                  <c:v>(blank)</c:v>
                </c:pt>
              </c:strCache>
            </c:strRef>
          </c:cat>
          <c:val>
            <c:numRef>
              <c:f>'PIVOT TABLES'!$G$13:$G$16</c:f>
              <c:numCache>
                <c:formatCode>General</c:formatCode>
                <c:ptCount val="3"/>
                <c:pt idx="0">
                  <c:v>230</c:v>
                </c:pt>
                <c:pt idx="1">
                  <c:v>97</c:v>
                </c:pt>
              </c:numCache>
            </c:numRef>
          </c:val>
          <c:extLst>
            <c:ext xmlns:c16="http://schemas.microsoft.com/office/drawing/2014/chart" uri="{C3380CC4-5D6E-409C-BE32-E72D297353CC}">
              <c16:uniqueId val="{00000005-8458-49A1-A323-F6AC3BE044BD}"/>
            </c:ext>
          </c:extLst>
        </c:ser>
        <c:dLbls>
          <c:showLegendKey val="0"/>
          <c:showVal val="0"/>
          <c:showCatName val="0"/>
          <c:showSerName val="0"/>
          <c:showPercent val="0"/>
          <c:showBubbleSize val="0"/>
        </c:dLbls>
        <c:gapWidth val="219"/>
        <c:overlap val="-27"/>
        <c:axId val="1599542656"/>
        <c:axId val="1599543136"/>
      </c:barChart>
      <c:catAx>
        <c:axId val="15995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3136"/>
        <c:crosses val="autoZero"/>
        <c:auto val="1"/>
        <c:lblAlgn val="ctr"/>
        <c:lblOffset val="100"/>
        <c:noMultiLvlLbl val="0"/>
      </c:catAx>
      <c:valAx>
        <c:axId val="159954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4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Avarange</a:t>
            </a:r>
            <a:r>
              <a:rPr lang="en-US" baseline="0"/>
              <a:t>  Total KWh USED WEEKLY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6435274275854581"/>
          <c:y val="0.30488753574419458"/>
          <c:w val="0.38609937193095351"/>
          <c:h val="0.59838004162446035"/>
        </c:manualLayout>
      </c:layout>
      <c:pieChart>
        <c:varyColors val="1"/>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Averange Of Total Kwh used</a:t>
            </a:r>
            <a:r>
              <a:rPr lang="en-US" baseline="0"/>
              <a:t>  weekly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DC-4610-8928-A94D5D7121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DC-4610-8928-A94D5D7121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DC-4610-8928-A94D5D71216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Jan</c:v>
              </c:pt>
              <c:pt idx="1">
                <c:v>Feb</c:v>
              </c:pt>
              <c:pt idx="2">
                <c:v>Mar</c:v>
              </c:pt>
            </c:strLit>
          </c:cat>
          <c:val>
            <c:numLit>
              <c:formatCode>General</c:formatCode>
              <c:ptCount val="3"/>
              <c:pt idx="0">
                <c:v>9.1294117647058819</c:v>
              </c:pt>
              <c:pt idx="1">
                <c:v>7.8957446808510641</c:v>
              </c:pt>
              <c:pt idx="2">
                <c:v>6.2448275862068963</c:v>
              </c:pt>
            </c:numLit>
          </c:val>
          <c:extLst>
            <c:ext xmlns:c16="http://schemas.microsoft.com/office/drawing/2014/chart" uri="{C3380CC4-5D6E-409C-BE32-E72D297353CC}">
              <c16:uniqueId val="{00000006-14DC-4610-8928-A94D5D71216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911039</xdr:colOff>
      <xdr:row>0</xdr:row>
      <xdr:rowOff>78442</xdr:rowOff>
    </xdr:from>
    <xdr:to>
      <xdr:col>6</xdr:col>
      <xdr:colOff>465045</xdr:colOff>
      <xdr:row>9</xdr:row>
      <xdr:rowOff>100854</xdr:rowOff>
    </xdr:to>
    <mc:AlternateContent xmlns:mc="http://schemas.openxmlformats.org/markup-compatibility/2006">
      <mc:Choice xmlns:a14="http://schemas.microsoft.com/office/drawing/2010/main" Requires="a14">
        <xdr:graphicFrame macro="">
          <xdr:nvGraphicFramePr>
            <xdr:cNvPr id="5" name="Sale Date">
              <a:extLst>
                <a:ext uri="{FF2B5EF4-FFF2-40B4-BE49-F238E27FC236}">
                  <a16:creationId xmlns:a16="http://schemas.microsoft.com/office/drawing/2014/main" id="{6A8D10BF-2ABF-F75D-FF6E-96C8B01DBDC4}"/>
                </a:ext>
              </a:extLst>
            </xdr:cNvPr>
            <xdr:cNvGraphicFramePr/>
          </xdr:nvGraphicFramePr>
          <xdr:xfrm>
            <a:off x="0" y="0"/>
            <a:ext cx="0" cy="0"/>
          </xdr:xfrm>
          <a:graphic>
            <a:graphicData uri="http://schemas.microsoft.com/office/drawing/2010/slicer">
              <sle:slicer xmlns:sle="http://schemas.microsoft.com/office/drawing/2010/slicer" name="Sale Date"/>
            </a:graphicData>
          </a:graphic>
        </xdr:graphicFrame>
      </mc:Choice>
      <mc:Fallback>
        <xdr:sp macro="" textlink="">
          <xdr:nvSpPr>
            <xdr:cNvPr id="0" name=""/>
            <xdr:cNvSpPr>
              <a:spLocks noTextEdit="1"/>
            </xdr:cNvSpPr>
          </xdr:nvSpPr>
          <xdr:spPr>
            <a:xfrm>
              <a:off x="8374157" y="78442"/>
              <a:ext cx="1828800" cy="1736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717177</xdr:colOff>
      <xdr:row>0</xdr:row>
      <xdr:rowOff>134471</xdr:rowOff>
    </xdr:from>
    <xdr:to>
      <xdr:col>5</xdr:col>
      <xdr:colOff>795616</xdr:colOff>
      <xdr:row>7</xdr:row>
      <xdr:rowOff>78441</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C8D694B2-20FC-72CF-E8E7-40D10D5D75F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31324" y="134471"/>
              <a:ext cx="1927410" cy="1277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1439957</xdr:colOff>
      <xdr:row>44</xdr:row>
      <xdr:rowOff>56028</xdr:rowOff>
    </xdr:from>
    <xdr:to>
      <xdr:col>6</xdr:col>
      <xdr:colOff>470648</xdr:colOff>
      <xdr:row>54</xdr:row>
      <xdr:rowOff>99731</xdr:rowOff>
    </xdr:to>
    <xdr:graphicFrame macro="">
      <xdr:nvGraphicFramePr>
        <xdr:cNvPr id="10" name="Chart 9">
          <a:extLst>
            <a:ext uri="{FF2B5EF4-FFF2-40B4-BE49-F238E27FC236}">
              <a16:creationId xmlns:a16="http://schemas.microsoft.com/office/drawing/2014/main" id="{B7654132-FA50-1698-6B55-61BFB433B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1204631</xdr:colOff>
      <xdr:row>29</xdr:row>
      <xdr:rowOff>179293</xdr:rowOff>
    </xdr:from>
    <xdr:to>
      <xdr:col>7</xdr:col>
      <xdr:colOff>347381</xdr:colOff>
      <xdr:row>43</xdr:row>
      <xdr:rowOff>133348</xdr:rowOff>
    </xdr:to>
    <xdr:graphicFrame macro="">
      <xdr:nvGraphicFramePr>
        <xdr:cNvPr id="14" name="Chart 13">
          <a:extLst>
            <a:ext uri="{FF2B5EF4-FFF2-40B4-BE49-F238E27FC236}">
              <a16:creationId xmlns:a16="http://schemas.microsoft.com/office/drawing/2014/main" id="{ABEB163D-9FE9-E2E2-5D09-7FC29736E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1</xdr:row>
      <xdr:rowOff>152400</xdr:rowOff>
    </xdr:from>
    <xdr:to>
      <xdr:col>7</xdr:col>
      <xdr:colOff>400050</xdr:colOff>
      <xdr:row>4</xdr:row>
      <xdr:rowOff>123826</xdr:rowOff>
    </xdr:to>
    <xdr:sp macro="" textlink="">
      <xdr:nvSpPr>
        <xdr:cNvPr id="3" name="Rectangle 2">
          <a:extLst>
            <a:ext uri="{FF2B5EF4-FFF2-40B4-BE49-F238E27FC236}">
              <a16:creationId xmlns:a16="http://schemas.microsoft.com/office/drawing/2014/main" id="{34879EB1-FCC7-4D19-A553-6B77C0030932}"/>
            </a:ext>
          </a:extLst>
        </xdr:cNvPr>
        <xdr:cNvSpPr/>
      </xdr:nvSpPr>
      <xdr:spPr>
        <a:xfrm>
          <a:off x="3133725" y="342900"/>
          <a:ext cx="1857375" cy="54292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a:t>
          </a:r>
          <a:r>
            <a:rPr lang="en-US" sz="1600" b="1" baseline="0"/>
            <a:t>  arreas (KES)</a:t>
          </a:r>
        </a:p>
        <a:p>
          <a:pPr algn="l"/>
          <a:r>
            <a:rPr lang="en-US" sz="1100" b="1" i="0" u="none" strike="noStrike" baseline="0">
              <a:solidFill>
                <a:schemeClr val="lt1"/>
              </a:solidFill>
              <a:effectLst/>
              <a:latin typeface="+mn-lt"/>
              <a:ea typeface="+mn-ea"/>
              <a:cs typeface="+mn-cs"/>
            </a:rPr>
            <a:t>     </a:t>
          </a:r>
        </a:p>
        <a:p>
          <a:pPr algn="l"/>
          <a:r>
            <a:rPr lang="en-US" sz="1100" b="1" i="0" u="none" strike="noStrike" baseline="0">
              <a:solidFill>
                <a:schemeClr val="lt1"/>
              </a:solidFill>
              <a:effectLst/>
              <a:latin typeface="+mn-lt"/>
              <a:ea typeface="+mn-ea"/>
              <a:cs typeface="+mn-cs"/>
            </a:rPr>
            <a:t>       </a:t>
          </a:r>
          <a:r>
            <a:rPr lang="en-US" sz="1800" b="1" i="0" u="none" strike="noStrike">
              <a:solidFill>
                <a:schemeClr val="lt1"/>
              </a:solidFill>
              <a:effectLst/>
              <a:latin typeface="+mn-lt"/>
              <a:ea typeface="+mn-ea"/>
              <a:cs typeface="+mn-cs"/>
            </a:rPr>
            <a:t>30659</a:t>
          </a:r>
          <a:r>
            <a:rPr lang="en-US">
              <a:effectLst/>
            </a:rPr>
            <a:t> </a:t>
          </a:r>
          <a:endParaRPr lang="en-US" sz="1100"/>
        </a:p>
      </xdr:txBody>
    </xdr:sp>
    <xdr:clientData/>
  </xdr:twoCellAnchor>
  <xdr:twoCellAnchor>
    <xdr:from>
      <xdr:col>0</xdr:col>
      <xdr:colOff>19053</xdr:colOff>
      <xdr:row>2</xdr:row>
      <xdr:rowOff>38097</xdr:rowOff>
    </xdr:from>
    <xdr:to>
      <xdr:col>1</xdr:col>
      <xdr:colOff>676278</xdr:colOff>
      <xdr:row>20</xdr:row>
      <xdr:rowOff>76198</xdr:rowOff>
    </xdr:to>
    <xdr:sp macro="" textlink="">
      <xdr:nvSpPr>
        <xdr:cNvPr id="6" name="Rectangle 5">
          <a:extLst>
            <a:ext uri="{FF2B5EF4-FFF2-40B4-BE49-F238E27FC236}">
              <a16:creationId xmlns:a16="http://schemas.microsoft.com/office/drawing/2014/main" id="{A7C2A2B0-77B7-4D9D-B798-1EB591BB2D19}"/>
            </a:ext>
          </a:extLst>
        </xdr:cNvPr>
        <xdr:cNvSpPr/>
      </xdr:nvSpPr>
      <xdr:spPr>
        <a:xfrm rot="16200000">
          <a:off x="-1185860" y="1624010"/>
          <a:ext cx="3676651" cy="1266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5</xdr:row>
      <xdr:rowOff>47623</xdr:rowOff>
    </xdr:from>
    <xdr:to>
      <xdr:col>8</xdr:col>
      <xdr:colOff>114300</xdr:colOff>
      <xdr:row>20</xdr:row>
      <xdr:rowOff>38100</xdr:rowOff>
    </xdr:to>
    <xdr:sp macro="" textlink="">
      <xdr:nvSpPr>
        <xdr:cNvPr id="8" name="Rectangle 7">
          <a:extLst>
            <a:ext uri="{FF2B5EF4-FFF2-40B4-BE49-F238E27FC236}">
              <a16:creationId xmlns:a16="http://schemas.microsoft.com/office/drawing/2014/main" id="{204159B6-4FB0-4565-A0A9-85532D5C7E8A}"/>
            </a:ext>
          </a:extLst>
        </xdr:cNvPr>
        <xdr:cNvSpPr/>
      </xdr:nvSpPr>
      <xdr:spPr>
        <a:xfrm>
          <a:off x="1247775" y="1209673"/>
          <a:ext cx="4067175" cy="284797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285750</xdr:colOff>
      <xdr:row>5</xdr:row>
      <xdr:rowOff>95249</xdr:rowOff>
    </xdr:from>
    <xdr:to>
      <xdr:col>15</xdr:col>
      <xdr:colOff>200026</xdr:colOff>
      <xdr:row>20</xdr:row>
      <xdr:rowOff>57150</xdr:rowOff>
    </xdr:to>
    <xdr:sp macro="" textlink="">
      <xdr:nvSpPr>
        <xdr:cNvPr id="9" name="Rectangle 8">
          <a:extLst>
            <a:ext uri="{FF2B5EF4-FFF2-40B4-BE49-F238E27FC236}">
              <a16:creationId xmlns:a16="http://schemas.microsoft.com/office/drawing/2014/main" id="{92A0C53F-9B2A-4936-AD0B-95879C23CA68}"/>
            </a:ext>
          </a:extLst>
        </xdr:cNvPr>
        <xdr:cNvSpPr/>
      </xdr:nvSpPr>
      <xdr:spPr>
        <a:xfrm>
          <a:off x="8562975" y="1257299"/>
          <a:ext cx="5848351" cy="281940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0</xdr:colOff>
      <xdr:row>0</xdr:row>
      <xdr:rowOff>0</xdr:rowOff>
    </xdr:from>
    <xdr:to>
      <xdr:col>15</xdr:col>
      <xdr:colOff>66675</xdr:colOff>
      <xdr:row>1</xdr:row>
      <xdr:rowOff>95250</xdr:rowOff>
    </xdr:to>
    <xdr:sp macro="" textlink="">
      <xdr:nvSpPr>
        <xdr:cNvPr id="11" name="Rectangle 10">
          <a:extLst>
            <a:ext uri="{FF2B5EF4-FFF2-40B4-BE49-F238E27FC236}">
              <a16:creationId xmlns:a16="http://schemas.microsoft.com/office/drawing/2014/main" id="{91C13F75-60B9-47AC-A47B-784589377700}"/>
            </a:ext>
          </a:extLst>
        </xdr:cNvPr>
        <xdr:cNvSpPr/>
      </xdr:nvSpPr>
      <xdr:spPr>
        <a:xfrm>
          <a:off x="0" y="0"/>
          <a:ext cx="9534525" cy="285750"/>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800" b="1"/>
            <a:t>2026 month-on-month dashboard for the field team</a:t>
          </a:r>
        </a:p>
      </xdr:txBody>
    </xdr:sp>
    <xdr:clientData/>
  </xdr:twoCellAnchor>
  <xdr:twoCellAnchor editAs="oneCell">
    <xdr:from>
      <xdr:col>0</xdr:col>
      <xdr:colOff>9525</xdr:colOff>
      <xdr:row>0</xdr:row>
      <xdr:rowOff>19051</xdr:rowOff>
    </xdr:from>
    <xdr:to>
      <xdr:col>1</xdr:col>
      <xdr:colOff>752475</xdr:colOff>
      <xdr:row>5</xdr:row>
      <xdr:rowOff>57150</xdr:rowOff>
    </xdr:to>
    <mc:AlternateContent xmlns:mc="http://schemas.openxmlformats.org/markup-compatibility/2006">
      <mc:Choice xmlns:a14="http://schemas.microsoft.com/office/drawing/2010/main" Requires="a14">
        <xdr:graphicFrame macro="">
          <xdr:nvGraphicFramePr>
            <xdr:cNvPr id="14" name="Month 2">
              <a:extLst>
                <a:ext uri="{FF2B5EF4-FFF2-40B4-BE49-F238E27FC236}">
                  <a16:creationId xmlns:a16="http://schemas.microsoft.com/office/drawing/2014/main" id="{D6E41E2F-FA5A-4987-938B-4B69EDC5A7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9525" y="19051"/>
              <a:ext cx="1352550" cy="1200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66675</xdr:rowOff>
    </xdr:from>
    <xdr:to>
      <xdr:col>1</xdr:col>
      <xdr:colOff>657225</xdr:colOff>
      <xdr:row>20</xdr:row>
      <xdr:rowOff>19051</xdr:rowOff>
    </xdr:to>
    <mc:AlternateContent xmlns:mc="http://schemas.openxmlformats.org/markup-compatibility/2006">
      <mc:Choice xmlns:a14="http://schemas.microsoft.com/office/drawing/2010/main" Requires="a14">
        <xdr:graphicFrame macro="">
          <xdr:nvGraphicFramePr>
            <xdr:cNvPr id="15" name="Sale Date 1">
              <a:extLst>
                <a:ext uri="{FF2B5EF4-FFF2-40B4-BE49-F238E27FC236}">
                  <a16:creationId xmlns:a16="http://schemas.microsoft.com/office/drawing/2014/main" id="{8B98E4C6-0D2A-4BD5-A815-B4D67919A20B}"/>
                </a:ext>
              </a:extLst>
            </xdr:cNvPr>
            <xdr:cNvGraphicFramePr/>
          </xdr:nvGraphicFramePr>
          <xdr:xfrm>
            <a:off x="0" y="0"/>
            <a:ext cx="0" cy="0"/>
          </xdr:xfrm>
          <a:graphic>
            <a:graphicData uri="http://schemas.microsoft.com/office/drawing/2010/slicer">
              <sle:slicer xmlns:sle="http://schemas.microsoft.com/office/drawing/2010/slicer" name="Sale Date 1"/>
            </a:graphicData>
          </a:graphic>
        </xdr:graphicFrame>
      </mc:Choice>
      <mc:Fallback>
        <xdr:sp macro="" textlink="">
          <xdr:nvSpPr>
            <xdr:cNvPr id="0" name=""/>
            <xdr:cNvSpPr>
              <a:spLocks noTextEdit="1"/>
            </xdr:cNvSpPr>
          </xdr:nvSpPr>
          <xdr:spPr>
            <a:xfrm>
              <a:off x="0" y="1419225"/>
              <a:ext cx="1266825" cy="2619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771525</xdr:colOff>
      <xdr:row>1</xdr:row>
      <xdr:rowOff>161925</xdr:rowOff>
    </xdr:from>
    <xdr:to>
      <xdr:col>4</xdr:col>
      <xdr:colOff>552450</xdr:colOff>
      <xdr:row>4</xdr:row>
      <xdr:rowOff>114299</xdr:rowOff>
    </xdr:to>
    <xdr:sp macro="" textlink="">
      <xdr:nvSpPr>
        <xdr:cNvPr id="17" name="Rectangle 16">
          <a:extLst>
            <a:ext uri="{FF2B5EF4-FFF2-40B4-BE49-F238E27FC236}">
              <a16:creationId xmlns:a16="http://schemas.microsoft.com/office/drawing/2014/main" id="{C119626E-BF3A-430E-ACFB-AE53B00E8781}"/>
            </a:ext>
          </a:extLst>
        </xdr:cNvPr>
        <xdr:cNvSpPr/>
      </xdr:nvSpPr>
      <xdr:spPr>
        <a:xfrm>
          <a:off x="1381125" y="352425"/>
          <a:ext cx="3895725" cy="523874"/>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Total Paid</a:t>
          </a:r>
          <a:r>
            <a:rPr lang="en-US" sz="1600" b="1" baseline="0"/>
            <a:t>  (KES)</a:t>
          </a:r>
        </a:p>
        <a:p>
          <a:pPr algn="l"/>
          <a:r>
            <a:rPr lang="en-US" sz="1100" b="1" i="0" u="none" strike="noStrike" baseline="0">
              <a:solidFill>
                <a:schemeClr val="lt1"/>
              </a:solidFill>
              <a:effectLst/>
              <a:latin typeface="+mn-lt"/>
              <a:ea typeface="+mn-ea"/>
              <a:cs typeface="+mn-cs"/>
            </a:rPr>
            <a:t>     </a:t>
          </a:r>
        </a:p>
        <a:p>
          <a:pPr algn="l"/>
          <a:endParaRPr lang="en-US" sz="1100" b="1" i="0" u="none" strike="noStrike" baseline="0">
            <a:solidFill>
              <a:schemeClr val="lt1"/>
            </a:solidFill>
            <a:effectLst/>
            <a:latin typeface="+mn-lt"/>
            <a:ea typeface="+mn-ea"/>
            <a:cs typeface="+mn-cs"/>
          </a:endParaRPr>
        </a:p>
        <a:p>
          <a:pPr algn="l"/>
          <a:endParaRPr lang="en-US" sz="1100"/>
        </a:p>
      </xdr:txBody>
    </xdr:sp>
    <xdr:clientData/>
  </xdr:twoCellAnchor>
  <xdr:twoCellAnchor>
    <xdr:from>
      <xdr:col>7</xdr:col>
      <xdr:colOff>390525</xdr:colOff>
      <xdr:row>1</xdr:row>
      <xdr:rowOff>142875</xdr:rowOff>
    </xdr:from>
    <xdr:to>
      <xdr:col>10</xdr:col>
      <xdr:colOff>561975</xdr:colOff>
      <xdr:row>4</xdr:row>
      <xdr:rowOff>104775</xdr:rowOff>
    </xdr:to>
    <xdr:sp macro="" textlink="">
      <xdr:nvSpPr>
        <xdr:cNvPr id="19" name="Rectangle 18">
          <a:extLst>
            <a:ext uri="{FF2B5EF4-FFF2-40B4-BE49-F238E27FC236}">
              <a16:creationId xmlns:a16="http://schemas.microsoft.com/office/drawing/2014/main" id="{9DD5B42B-874E-4819-96A1-27F9F7A22516}"/>
            </a:ext>
          </a:extLst>
        </xdr:cNvPr>
        <xdr:cNvSpPr/>
      </xdr:nvSpPr>
      <xdr:spPr>
        <a:xfrm>
          <a:off x="4981575" y="333375"/>
          <a:ext cx="2000250" cy="5334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t>Average of Rate of payment  </a:t>
          </a:r>
          <a:r>
            <a:rPr lang="en-US" sz="1600" b="1" baseline="0"/>
            <a:t>% </a:t>
          </a:r>
        </a:p>
        <a:p>
          <a:pPr algn="l"/>
          <a:r>
            <a:rPr lang="en-US" sz="1100" b="1" i="0" u="none" strike="noStrike" baseline="0">
              <a:solidFill>
                <a:schemeClr val="lt1"/>
              </a:solidFill>
              <a:effectLst/>
              <a:latin typeface="+mn-lt"/>
              <a:ea typeface="+mn-ea"/>
              <a:cs typeface="+mn-cs"/>
            </a:rPr>
            <a:t>     </a:t>
          </a:r>
        </a:p>
        <a:p>
          <a:pPr algn="l"/>
          <a:r>
            <a:rPr lang="en-US" sz="1100" b="1" i="0" u="none" strike="noStrike" baseline="0">
              <a:solidFill>
                <a:schemeClr val="lt1"/>
              </a:solidFill>
              <a:effectLst/>
              <a:latin typeface="+mn-lt"/>
              <a:ea typeface="+mn-ea"/>
              <a:cs typeface="+mn-cs"/>
            </a:rPr>
            <a:t>      </a:t>
          </a:r>
          <a:endParaRPr lang="en-US" sz="1100"/>
        </a:p>
      </xdr:txBody>
    </xdr:sp>
    <xdr:clientData/>
  </xdr:twoCellAnchor>
  <xdr:twoCellAnchor>
    <xdr:from>
      <xdr:col>10</xdr:col>
      <xdr:colOff>552450</xdr:colOff>
      <xdr:row>1</xdr:row>
      <xdr:rowOff>114300</xdr:rowOff>
    </xdr:from>
    <xdr:to>
      <xdr:col>13</xdr:col>
      <xdr:colOff>552450</xdr:colOff>
      <xdr:row>4</xdr:row>
      <xdr:rowOff>76199</xdr:rowOff>
    </xdr:to>
    <xdr:sp macro="" textlink="">
      <xdr:nvSpPr>
        <xdr:cNvPr id="20" name="Rectangle 19">
          <a:extLst>
            <a:ext uri="{FF2B5EF4-FFF2-40B4-BE49-F238E27FC236}">
              <a16:creationId xmlns:a16="http://schemas.microsoft.com/office/drawing/2014/main" id="{44F28420-AF9F-4BD7-B29D-23DB4EB61C62}"/>
            </a:ext>
          </a:extLst>
        </xdr:cNvPr>
        <xdr:cNvSpPr/>
      </xdr:nvSpPr>
      <xdr:spPr>
        <a:xfrm>
          <a:off x="6972300" y="304800"/>
          <a:ext cx="1828800" cy="533399"/>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t>Average of Total kWh Used (Weekly</a:t>
          </a:r>
          <a:r>
            <a:rPr lang="en-US" sz="1600" b="1" baseline="0"/>
            <a:t>) </a:t>
          </a:r>
        </a:p>
        <a:p>
          <a:pPr algn="l"/>
          <a:r>
            <a:rPr lang="en-US" sz="1100" b="1" i="0" u="none" strike="noStrike" baseline="0">
              <a:solidFill>
                <a:schemeClr val="lt1"/>
              </a:solidFill>
              <a:effectLst/>
              <a:latin typeface="+mn-lt"/>
              <a:ea typeface="+mn-ea"/>
              <a:cs typeface="+mn-cs"/>
            </a:rPr>
            <a:t>     </a:t>
          </a:r>
        </a:p>
        <a:p>
          <a:pPr algn="l"/>
          <a:r>
            <a:rPr lang="en-US" sz="1100" b="1" i="0" u="none" strike="noStrike" baseline="0">
              <a:solidFill>
                <a:schemeClr val="lt1"/>
              </a:solidFill>
              <a:effectLst/>
              <a:latin typeface="+mn-lt"/>
              <a:ea typeface="+mn-ea"/>
              <a:cs typeface="+mn-cs"/>
            </a:rPr>
            <a:t>      </a:t>
          </a:r>
          <a:endParaRPr lang="en-US" sz="1100"/>
        </a:p>
      </xdr:txBody>
    </xdr:sp>
    <xdr:clientData/>
  </xdr:twoCellAnchor>
  <xdr:twoCellAnchor>
    <xdr:from>
      <xdr:col>13</xdr:col>
      <xdr:colOff>542925</xdr:colOff>
      <xdr:row>1</xdr:row>
      <xdr:rowOff>114300</xdr:rowOff>
    </xdr:from>
    <xdr:to>
      <xdr:col>15</xdr:col>
      <xdr:colOff>466725</xdr:colOff>
      <xdr:row>4</xdr:row>
      <xdr:rowOff>95249</xdr:rowOff>
    </xdr:to>
    <xdr:sp macro="" textlink="">
      <xdr:nvSpPr>
        <xdr:cNvPr id="22" name="Rectangle 21">
          <a:extLst>
            <a:ext uri="{FF2B5EF4-FFF2-40B4-BE49-F238E27FC236}">
              <a16:creationId xmlns:a16="http://schemas.microsoft.com/office/drawing/2014/main" id="{17CB0572-53E8-4DB9-AE40-EFCF33BCFD9F}"/>
            </a:ext>
          </a:extLst>
        </xdr:cNvPr>
        <xdr:cNvSpPr/>
      </xdr:nvSpPr>
      <xdr:spPr>
        <a:xfrm>
          <a:off x="8791575" y="304800"/>
          <a:ext cx="1143000" cy="552449"/>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t>Sum of Active Days</a:t>
          </a:r>
          <a:r>
            <a:rPr lang="en-US" sz="1100" b="1" i="0" u="none" strike="noStrike" baseline="0">
              <a:solidFill>
                <a:schemeClr val="lt1"/>
              </a:solidFill>
              <a:effectLst/>
              <a:latin typeface="+mn-lt"/>
              <a:ea typeface="+mn-ea"/>
              <a:cs typeface="+mn-cs"/>
            </a:rPr>
            <a:t>     </a:t>
          </a:r>
        </a:p>
        <a:p>
          <a:pPr algn="l"/>
          <a:r>
            <a:rPr lang="en-US" sz="1100" b="1" i="0" u="none" strike="noStrike" baseline="0">
              <a:solidFill>
                <a:schemeClr val="lt1"/>
              </a:solidFill>
              <a:effectLst/>
              <a:latin typeface="+mn-lt"/>
              <a:ea typeface="+mn-ea"/>
              <a:cs typeface="+mn-cs"/>
            </a:rPr>
            <a:t>      </a:t>
          </a:r>
          <a:endParaRPr lang="en-US" sz="1100"/>
        </a:p>
      </xdr:txBody>
    </xdr:sp>
    <xdr:clientData/>
  </xdr:twoCellAnchor>
  <xdr:twoCellAnchor>
    <xdr:from>
      <xdr:col>8</xdr:col>
      <xdr:colOff>123825</xdr:colOff>
      <xdr:row>5</xdr:row>
      <xdr:rowOff>19050</xdr:rowOff>
    </xdr:from>
    <xdr:to>
      <xdr:col>10</xdr:col>
      <xdr:colOff>0</xdr:colOff>
      <xdr:row>20</xdr:row>
      <xdr:rowOff>47625</xdr:rowOff>
    </xdr:to>
    <xdr:graphicFrame macro="">
      <xdr:nvGraphicFramePr>
        <xdr:cNvPr id="26" name="Chart 25">
          <a:extLst>
            <a:ext uri="{FF2B5EF4-FFF2-40B4-BE49-F238E27FC236}">
              <a16:creationId xmlns:a16="http://schemas.microsoft.com/office/drawing/2014/main" id="{5B54EE3F-FB8C-47B8-BE3C-307E04DB9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638174</xdr:colOff>
      <xdr:row>5</xdr:row>
      <xdr:rowOff>47623</xdr:rowOff>
    </xdr:from>
    <xdr:to>
      <xdr:col>8</xdr:col>
      <xdr:colOff>47624</xdr:colOff>
      <xdr:row>20</xdr:row>
      <xdr:rowOff>85725</xdr:rowOff>
    </xdr:to>
    <xdr:graphicFrame macro="">
      <xdr:nvGraphicFramePr>
        <xdr:cNvPr id="27" name="Chart 26">
          <a:extLst>
            <a:ext uri="{FF2B5EF4-FFF2-40B4-BE49-F238E27FC236}">
              <a16:creationId xmlns:a16="http://schemas.microsoft.com/office/drawing/2014/main" id="{C14D4523-0BA1-4149-9647-9D15A5DCF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152400</xdr:colOff>
      <xdr:row>21</xdr:row>
      <xdr:rowOff>190499</xdr:rowOff>
    </xdr:from>
    <xdr:to>
      <xdr:col>16</xdr:col>
      <xdr:colOff>556933</xdr:colOff>
      <xdr:row>36</xdr:row>
      <xdr:rowOff>114300</xdr:rowOff>
    </xdr:to>
    <xdr:graphicFrame macro="">
      <xdr:nvGraphicFramePr>
        <xdr:cNvPr id="28" name="Chart 27">
          <a:extLst>
            <a:ext uri="{FF2B5EF4-FFF2-40B4-BE49-F238E27FC236}">
              <a16:creationId xmlns:a16="http://schemas.microsoft.com/office/drawing/2014/main" id="{65804505-C53B-4836-B3BC-4658F6F76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xdr:colOff>
      <xdr:row>5</xdr:row>
      <xdr:rowOff>76200</xdr:rowOff>
    </xdr:from>
    <xdr:to>
      <xdr:col>13</xdr:col>
      <xdr:colOff>390526</xdr:colOff>
      <xdr:row>20</xdr:row>
      <xdr:rowOff>19050</xdr:rowOff>
    </xdr:to>
    <xdr:graphicFrame macro="">
      <xdr:nvGraphicFramePr>
        <xdr:cNvPr id="30" name="Chart 29">
          <a:extLst>
            <a:ext uri="{FF2B5EF4-FFF2-40B4-BE49-F238E27FC236}">
              <a16:creationId xmlns:a16="http://schemas.microsoft.com/office/drawing/2014/main" id="{C8644FC5-120D-465B-9630-7389483E2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boy" refreshedDate="46074.736054513887" createdVersion="8" refreshedVersion="8" minRefreshableVersion="3" recordCount="102" xr:uid="{86BD0BC7-B29D-44D7-B459-9316113CC603}">
  <cacheSource type="worksheet">
    <worksheetSource ref="A1:I1048576" sheet="Data"/>
  </cacheSource>
  <cacheFields count="9">
    <cacheField name="Sale Date" numFmtId="0">
      <sharedItems containsNonDate="0" containsDate="1" containsString="0" containsBlank="1" minDate="2026-01-01T00:00:00" maxDate="2026-03-30T00:00:00" count="61">
        <d v="2026-02-01T00:00:00"/>
        <d v="2026-01-31T00:00:00"/>
        <d v="2026-02-16T00:00:00"/>
        <d v="2026-01-01T00:00:00"/>
        <d v="2026-03-28T00:00:00"/>
        <d v="2026-02-18T00:00:00"/>
        <d v="2026-02-20T00:00:00"/>
        <d v="2026-02-11T00:00:00"/>
        <d v="2026-02-19T00:00:00"/>
        <d v="2026-02-22T00:00:00"/>
        <d v="2026-02-08T00:00:00"/>
        <d v="2026-02-12T00:00:00"/>
        <d v="2026-02-02T00:00:00"/>
        <d v="2026-02-15T00:00:00"/>
        <d v="2026-03-27T00:00:00"/>
        <d v="2026-02-04T00:00:00"/>
        <d v="2026-02-13T00:00:00"/>
        <d v="2026-03-25T00:00:00"/>
        <d v="2026-01-30T00:00:00"/>
        <d v="2026-03-24T00:00:00"/>
        <d v="2026-02-06T00:00:00"/>
        <d v="2026-02-09T00:00:00"/>
        <d v="2026-02-07T00:00:00"/>
        <d v="2026-02-14T00:00:00"/>
        <d v="2026-02-21T00:00:00"/>
        <d v="2026-02-10T00:00:00"/>
        <d v="2026-02-03T00:00:00"/>
        <d v="2026-02-05T00:00:00"/>
        <d v="2026-03-29T00:00:00"/>
        <d v="2026-03-26T00:00:00"/>
        <d v="2026-02-17T00:00:00"/>
        <d v="2026-03-21T00:00:00"/>
        <d v="2026-03-16T00:00:00"/>
        <d v="2026-03-06T00:00:00"/>
        <d v="2026-03-23T00:00:00"/>
        <d v="2026-03-09T00:00:00"/>
        <d v="2026-03-19T00:00:00"/>
        <d v="2026-03-20T00:00:00"/>
        <d v="2026-02-25T00:00:00"/>
        <d v="2026-03-03T00:00:00"/>
        <d v="2026-03-15T00:00:00"/>
        <d v="2026-03-08T00:00:00"/>
        <d v="2026-03-07T00:00:00"/>
        <d v="2026-03-12T00:00:00"/>
        <d v="2026-02-23T00:00:00"/>
        <d v="2026-03-01T00:00:00"/>
        <d v="2026-03-17T00:00:00"/>
        <d v="2026-02-28T00:00:00"/>
        <d v="2026-03-11T00:00:00"/>
        <d v="2026-03-22T00:00:00"/>
        <d v="2026-03-14T00:00:00"/>
        <d v="2026-03-18T00:00:00"/>
        <d v="2026-02-24T00:00:00"/>
        <d v="2026-02-26T00:00:00"/>
        <d v="2026-03-02T00:00:00"/>
        <d v="2026-03-04T00:00:00"/>
        <d v="2026-03-10T00:00:00"/>
        <d v="2026-02-27T00:00:00"/>
        <d v="2026-03-05T00:00:00"/>
        <d v="2026-03-13T00:00:00"/>
        <m/>
      </sharedItems>
    </cacheField>
    <cacheField name="Month" numFmtId="0">
      <sharedItems containsBlank="1" count="4">
        <s v="Feb"/>
        <s v="Jan"/>
        <s v="Mar"/>
        <m/>
      </sharedItems>
    </cacheField>
    <cacheField name="Customer Name" numFmtId="0">
      <sharedItems containsBlank="1" count="96">
        <s v="John Kiprotich"/>
        <s v="Diana Onyango"/>
        <s v="William Hassan"/>
        <s v="Mary Ochieng"/>
        <s v="Rose Njeri"/>
        <s v="Tabitha Said"/>
        <s v="Mercy Kiprotich"/>
        <s v="Alfred Abdallah"/>
        <s v="Joseph Chebet"/>
        <s v="James Mwende"/>
        <s v="James Kimani"/>
        <s v="Dennis Kariuki"/>
        <s v="John Akinyi"/>
        <s v="Salma Atieno"/>
        <s v="Rose Said"/>
        <s v="Lydia Onyango"/>
        <s v="Irene Maina"/>
        <s v="Faith Kiptoo"/>
        <s v="Stephen Mussa"/>
        <s v="Mercy Joseph"/>
        <s v="Victor Mwangi"/>
        <s v="Alfred Mwangi"/>
        <s v="Quincy Chebet"/>
        <s v="Nancy Wanjiku"/>
        <s v="Samuel Ochieng"/>
        <s v="Martin Abdallah"/>
        <s v="Henry Kiprotich"/>
        <s v="Collins Ochieng"/>
        <s v="John Kimani"/>
        <s v="Kelvin Joseph"/>
        <s v="Stephen Mboya"/>
        <s v="Neema Chebet"/>
        <s v="William Kamau"/>
        <s v="Rose Chebet"/>
        <s v="Fatma Njeri"/>
        <s v="Leah Maina"/>
        <s v="Diana Mwangi"/>
        <s v="Fatma Joseph"/>
        <s v="Naomi Hassan"/>
        <s v="Alfred Njoroge"/>
        <s v="Hassan Atieno"/>
        <s v="Leah Omondi"/>
        <s v="Nancy Onyango"/>
        <s v="Moses Mutiso"/>
        <s v="Joseph Mussa"/>
        <s v="Alfred Wairimu"/>
        <s v="Sharon Akinyi"/>
        <s v="Brian Kimani"/>
        <s v="Rose Kimani"/>
        <s v="Leah Njoroge"/>
        <s v="Patrick Maina"/>
        <s v="Alfred Joseph"/>
        <s v="William Mboya"/>
        <s v="John Said"/>
        <s v="Rose Chepkemoi"/>
        <s v="Tabitha Wanjiku"/>
        <s v="James Kamau"/>
        <s v="Oscar Mussa"/>
        <s v="Brian Njoroge"/>
        <s v="Peter Chepkemoi"/>
        <s v="Daniel Abdallah"/>
        <s v="Moses Njoroge"/>
        <s v="James Njoroge"/>
        <s v="Rose Atieno"/>
        <s v="Mercy Maina"/>
        <s v="Kelvin Wanjiku"/>
        <s v="Lucy Njoroge"/>
        <s v="Victor Hassan"/>
        <s v="Neema Mussa"/>
        <s v="William Kiprotich"/>
        <s v="Lydia Naliaka"/>
        <s v="Dennis Naliaka"/>
        <s v="Naomi Kimani"/>
        <s v="Henry Odhiambo"/>
        <s v="Quincy Wairimu"/>
        <s v="Irene Ochieng"/>
        <s v="Leah Onyango"/>
        <s v="Fatma Odhiambo"/>
        <s v="Kelvin Mutiso"/>
        <s v="Samuel Abdallah"/>
        <s v="Henry Mussa"/>
        <s v="Victor Onyango"/>
        <s v="Caroline Wairimu"/>
        <s v="Lydia Atieno"/>
        <s v="Victor Kiprotich"/>
        <s v="Peter Naliaka"/>
        <s v="Asha Otieno"/>
        <s v="William Ochieng"/>
        <s v="Henry Abdallah"/>
        <s v="Jacob Atieno"/>
        <s v="Lydia Wanjiku"/>
        <s v="Nancy Chebet"/>
        <s v="James Kariuki"/>
        <s v="Faith Mutiso"/>
        <s v="Irene Mutiso"/>
        <m/>
      </sharedItems>
    </cacheField>
    <cacheField name="Weekly Due (KES)" numFmtId="0">
      <sharedItems containsString="0" containsBlank="1" containsNumber="1" containsInteger="1" minValue="700" maxValue="700"/>
    </cacheField>
    <cacheField name="Amount Paid (KES)" numFmtId="0">
      <sharedItems containsString="0" containsBlank="1" containsNumber="1" containsInteger="1" minValue="8" maxValue="700"/>
    </cacheField>
    <cacheField name="ARREAS" numFmtId="0">
      <sharedItems containsString="0" containsBlank="1" containsNumber="1" containsInteger="1" minValue="0" maxValue="692"/>
    </cacheField>
    <cacheField name="Rate of payment%" numFmtId="2">
      <sharedItems containsString="0" containsBlank="1" containsNumber="1" minValue="1.1428571428571428" maxValue="100"/>
    </cacheField>
    <cacheField name="Total kWh Used (Weekly)" numFmtId="0">
      <sharedItems containsString="0" containsBlank="1" containsNumber="1" minValue="0" maxValue="15.9"/>
    </cacheField>
    <cacheField name="Active Days" numFmtId="0">
      <sharedItems containsString="0" containsBlank="1" containsNumber="1" containsInteger="1" minValue="0" maxValue="7"/>
    </cacheField>
  </cacheFields>
  <extLst>
    <ext xmlns:x14="http://schemas.microsoft.com/office/spreadsheetml/2009/9/main" uri="{725AE2AE-9491-48be-B2B4-4EB974FC3084}">
      <x14:pivotCacheDefinition pivotCacheId="5653946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boy" refreshedDate="46075.806286458333" createdVersion="8" refreshedVersion="8" minRefreshableVersion="3" recordCount="100" xr:uid="{DD80AC55-6B5F-4FFF-947E-B8457C470D14}">
  <cacheSource type="worksheet">
    <worksheetSource ref="A1:J101" sheet="Data"/>
  </cacheSource>
  <cacheFields count="10">
    <cacheField name="Sale Date" numFmtId="164">
      <sharedItems containsSemiMixedTypes="0" containsNonDate="0" containsDate="1" containsString="0" minDate="2026-01-01T00:00:00" maxDate="2026-03-30T00:00:00"/>
    </cacheField>
    <cacheField name="Month" numFmtId="164">
      <sharedItems count="3">
        <s v="Feb"/>
        <s v="Jan"/>
        <s v="Mar"/>
      </sharedItems>
    </cacheField>
    <cacheField name="Customer Name" numFmtId="0">
      <sharedItems count="95">
        <s v="John Kiprotich"/>
        <s v="Diana Onyango"/>
        <s v="William Hassan"/>
        <s v="Mary Ochieng"/>
        <s v="Rose Njeri"/>
        <s v="Tabitha Said"/>
        <s v="Mercy Kiprotich"/>
        <s v="Alfred Abdallah"/>
        <s v="Joseph Chebet"/>
        <s v="James Mwende"/>
        <s v="James Kimani"/>
        <s v="Dennis Kariuki"/>
        <s v="John Akinyi"/>
        <s v="Salma Atieno"/>
        <s v="Rose Said"/>
        <s v="Lydia Onyango"/>
        <s v="Irene Maina"/>
        <s v="Faith Kiptoo"/>
        <s v="Stephen Mussa"/>
        <s v="Mercy Joseph"/>
        <s v="Victor Mwangi"/>
        <s v="Alfred Mwangi"/>
        <s v="Quincy Chebet"/>
        <s v="Nancy Wanjiku"/>
        <s v="Samuel Ochieng"/>
        <s v="Martin Abdallah"/>
        <s v="Henry Kiprotich"/>
        <s v="Collins Ochieng"/>
        <s v="John Kimani"/>
        <s v="Kelvin Joseph"/>
        <s v="Stephen Mboya"/>
        <s v="Neema Chebet"/>
        <s v="William Kamau"/>
        <s v="Rose Chebet"/>
        <s v="Fatma Njeri"/>
        <s v="Leah Maina"/>
        <s v="Diana Mwangi"/>
        <s v="Fatma Joseph"/>
        <s v="Naomi Hassan"/>
        <s v="Alfred Njoroge"/>
        <s v="Hassan Atieno"/>
        <s v="Leah Omondi"/>
        <s v="Nancy Onyango"/>
        <s v="Moses Mutiso"/>
        <s v="Joseph Mussa"/>
        <s v="Alfred Wairimu"/>
        <s v="Sharon Akinyi"/>
        <s v="Brian Kimani"/>
        <s v="Rose Kimani"/>
        <s v="Leah Njoroge"/>
        <s v="Patrick Maina"/>
        <s v="Alfred Joseph"/>
        <s v="William Mboya"/>
        <s v="John Said"/>
        <s v="Rose Chepkemoi"/>
        <s v="Tabitha Wanjiku"/>
        <s v="James Kamau"/>
        <s v="Oscar Mussa"/>
        <s v="Brian Njoroge"/>
        <s v="Peter Chepkemoi"/>
        <s v="Daniel Abdallah"/>
        <s v="Moses Njoroge"/>
        <s v="James Njoroge"/>
        <s v="Rose Atieno"/>
        <s v="Mercy Maina"/>
        <s v="Kelvin Wanjiku"/>
        <s v="Lucy Njoroge"/>
        <s v="Victor Hassan"/>
        <s v="Neema Mussa"/>
        <s v="William Kiprotich"/>
        <s v="Lydia Naliaka"/>
        <s v="Dennis Naliaka"/>
        <s v="Naomi Kimani"/>
        <s v="Henry Odhiambo"/>
        <s v="Quincy Wairimu"/>
        <s v="Irene Ochieng"/>
        <s v="Leah Onyango"/>
        <s v="Fatma Odhiambo"/>
        <s v="Kelvin Mutiso"/>
        <s v="Samuel Abdallah"/>
        <s v="Henry Mussa"/>
        <s v="Victor Onyango"/>
        <s v="Caroline Wairimu"/>
        <s v="Lydia Atieno"/>
        <s v="Victor Kiprotich"/>
        <s v="Peter Naliaka"/>
        <s v="Asha Otieno"/>
        <s v="William Ochieng"/>
        <s v="Henry Abdallah"/>
        <s v="Jacob Atieno"/>
        <s v="Lydia Wanjiku"/>
        <s v="Nancy Chebet"/>
        <s v="James Kariuki"/>
        <s v="Faith Mutiso"/>
        <s v="Irene Mutiso"/>
      </sharedItems>
    </cacheField>
    <cacheField name="Weekly Due (KES)" numFmtId="0">
      <sharedItems containsSemiMixedTypes="0" containsString="0" containsNumber="1" containsInteger="1" minValue="700" maxValue="700"/>
    </cacheField>
    <cacheField name="Amount Paid (KES)" numFmtId="0">
      <sharedItems containsSemiMixedTypes="0" containsString="0" containsNumber="1" containsInteger="1" minValue="8" maxValue="700"/>
    </cacheField>
    <cacheField name="ARREAS" numFmtId="0">
      <sharedItems containsSemiMixedTypes="0" containsString="0" containsNumber="1" containsInteger="1" minValue="0" maxValue="692"/>
    </cacheField>
    <cacheField name="Rate of payment%" numFmtId="2">
      <sharedItems containsSemiMixedTypes="0" containsString="0" containsNumber="1" minValue="1.1428571428571428" maxValue="100"/>
    </cacheField>
    <cacheField name="Total kWh Used (Weekly)" numFmtId="0">
      <sharedItems containsSemiMixedTypes="0" containsString="0" containsNumber="1" minValue="0" maxValue="15.9"/>
    </cacheField>
    <cacheField name="Active Days" numFmtId="0">
      <sharedItems containsSemiMixedTypes="0" containsString="0" containsNumber="1" containsInteger="1" minValue="0" maxValue="7"/>
    </cacheField>
    <cacheField name="Risk customers " numFmtId="0">
      <sharedItems count="2">
        <s v="HIGH"/>
        <s v="NORMAL"/>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dboy" refreshedDate="46076.043065509257" createdVersion="8" refreshedVersion="8" minRefreshableVersion="3" recordCount="100" xr:uid="{72E6D314-899F-4191-9C67-60A992D56484}">
  <cacheSource type="worksheet">
    <worksheetSource ref="A1:H101" sheet="Data"/>
  </cacheSource>
  <cacheFields count="8">
    <cacheField name="Sale Date" numFmtId="164">
      <sharedItems containsSemiMixedTypes="0" containsNonDate="0" containsDate="1" containsString="0" minDate="2026-01-01T00:00:00" maxDate="2026-03-30T00:00:00"/>
    </cacheField>
    <cacheField name="Month" numFmtId="164">
      <sharedItems count="3">
        <s v="Feb"/>
        <s v="Jan"/>
        <s v="Mar"/>
      </sharedItems>
    </cacheField>
    <cacheField name="Customer Name" numFmtId="0">
      <sharedItems count="95">
        <s v="John Kiprotich"/>
        <s v="Diana Onyango"/>
        <s v="William Hassan"/>
        <s v="Mary Ochieng"/>
        <s v="Rose Njeri"/>
        <s v="Tabitha Said"/>
        <s v="Mercy Kiprotich"/>
        <s v="Alfred Abdallah"/>
        <s v="Joseph Chebet"/>
        <s v="James Mwende"/>
        <s v="James Kimani"/>
        <s v="Dennis Kariuki"/>
        <s v="John Akinyi"/>
        <s v="Salma Atieno"/>
        <s v="Rose Said"/>
        <s v="Lydia Onyango"/>
        <s v="Irene Maina"/>
        <s v="Faith Kiptoo"/>
        <s v="Stephen Mussa"/>
        <s v="Mercy Joseph"/>
        <s v="Victor Mwangi"/>
        <s v="Alfred Mwangi"/>
        <s v="Quincy Chebet"/>
        <s v="Nancy Wanjiku"/>
        <s v="Samuel Ochieng"/>
        <s v="Martin Abdallah"/>
        <s v="Henry Kiprotich"/>
        <s v="Collins Ochieng"/>
        <s v="John Kimani"/>
        <s v="Kelvin Joseph"/>
        <s v="Stephen Mboya"/>
        <s v="Neema Chebet"/>
        <s v="William Kamau"/>
        <s v="Rose Chebet"/>
        <s v="Fatma Njeri"/>
        <s v="Leah Maina"/>
        <s v="Diana Mwangi"/>
        <s v="Fatma Joseph"/>
        <s v="Naomi Hassan"/>
        <s v="Alfred Njoroge"/>
        <s v="Hassan Atieno"/>
        <s v="Leah Omondi"/>
        <s v="Nancy Onyango"/>
        <s v="Moses Mutiso"/>
        <s v="Joseph Mussa"/>
        <s v="Alfred Wairimu"/>
        <s v="Sharon Akinyi"/>
        <s v="Brian Kimani"/>
        <s v="Rose Kimani"/>
        <s v="Leah Njoroge"/>
        <s v="Patrick Maina"/>
        <s v="Alfred Joseph"/>
        <s v="William Mboya"/>
        <s v="John Said"/>
        <s v="Rose Chepkemoi"/>
        <s v="Tabitha Wanjiku"/>
        <s v="James Kamau"/>
        <s v="Oscar Mussa"/>
        <s v="Brian Njoroge"/>
        <s v="Peter Chepkemoi"/>
        <s v="Daniel Abdallah"/>
        <s v="Moses Njoroge"/>
        <s v="James Njoroge"/>
        <s v="Rose Atieno"/>
        <s v="Mercy Maina"/>
        <s v="Kelvin Wanjiku"/>
        <s v="Lucy Njoroge"/>
        <s v="Victor Hassan"/>
        <s v="Neema Mussa"/>
        <s v="William Kiprotich"/>
        <s v="Lydia Naliaka"/>
        <s v="Dennis Naliaka"/>
        <s v="Naomi Kimani"/>
        <s v="Henry Odhiambo"/>
        <s v="Quincy Wairimu"/>
        <s v="Irene Ochieng"/>
        <s v="Leah Onyango"/>
        <s v="Fatma Odhiambo"/>
        <s v="Kelvin Mutiso"/>
        <s v="Samuel Abdallah"/>
        <s v="Henry Mussa"/>
        <s v="Victor Onyango"/>
        <s v="Caroline Wairimu"/>
        <s v="Lydia Atieno"/>
        <s v="Victor Kiprotich"/>
        <s v="Peter Naliaka"/>
        <s v="Asha Otieno"/>
        <s v="William Ochieng"/>
        <s v="Henry Abdallah"/>
        <s v="Jacob Atieno"/>
        <s v="Lydia Wanjiku"/>
        <s v="Nancy Chebet"/>
        <s v="James Kariuki"/>
        <s v="Faith Mutiso"/>
        <s v="Irene Mutiso"/>
      </sharedItems>
    </cacheField>
    <cacheField name="Weekly Due (KES)" numFmtId="0">
      <sharedItems containsSemiMixedTypes="0" containsString="0" containsNumber="1" containsInteger="1" minValue="700" maxValue="700"/>
    </cacheField>
    <cacheField name="Amount Paid (KES)" numFmtId="0">
      <sharedItems containsSemiMixedTypes="0" containsString="0" containsNumber="1" containsInteger="1" minValue="8" maxValue="700"/>
    </cacheField>
    <cacheField name="ARREAS" numFmtId="0">
      <sharedItems containsSemiMixedTypes="0" containsString="0" containsNumber="1" containsInteger="1" minValue="0" maxValue="692"/>
    </cacheField>
    <cacheField name="Rate of payment%" numFmtId="2">
      <sharedItems containsSemiMixedTypes="0" containsString="0" containsNumber="1" minValue="1.1428571428571428" maxValue="100"/>
    </cacheField>
    <cacheField name="Total kWh Used (Weekly)" numFmtId="0">
      <sharedItems containsSemiMixedTypes="0" containsString="0" containsNumber="1" minValue="0" maxValue="1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x v="0"/>
    <n v="700"/>
    <n v="8"/>
    <n v="692"/>
    <n v="1.1428571428571428"/>
    <n v="3.1"/>
    <n v="2"/>
  </r>
  <r>
    <x v="1"/>
    <x v="1"/>
    <x v="1"/>
    <n v="700"/>
    <n v="18"/>
    <n v="682"/>
    <n v="2.5714285714285712"/>
    <n v="0"/>
    <n v="0"/>
  </r>
  <r>
    <x v="2"/>
    <x v="0"/>
    <x v="2"/>
    <n v="700"/>
    <n v="34"/>
    <n v="666"/>
    <n v="4.8571428571428568"/>
    <n v="14.7"/>
    <n v="7"/>
  </r>
  <r>
    <x v="3"/>
    <x v="1"/>
    <x v="3"/>
    <n v="700"/>
    <n v="34"/>
    <n v="666"/>
    <n v="4.8571428571428568"/>
    <n v="7.7"/>
    <n v="4"/>
  </r>
  <r>
    <x v="4"/>
    <x v="2"/>
    <x v="4"/>
    <n v="700"/>
    <n v="34"/>
    <n v="666"/>
    <n v="4.8571428571428568"/>
    <n v="0"/>
    <n v="0"/>
  </r>
  <r>
    <x v="5"/>
    <x v="0"/>
    <x v="5"/>
    <n v="700"/>
    <n v="34"/>
    <n v="666"/>
    <n v="4.8571428571428568"/>
    <n v="1.7"/>
    <n v="1"/>
  </r>
  <r>
    <x v="6"/>
    <x v="0"/>
    <x v="6"/>
    <n v="700"/>
    <n v="45"/>
    <n v="655"/>
    <n v="6.4285714285714279"/>
    <n v="0"/>
    <n v="0"/>
  </r>
  <r>
    <x v="7"/>
    <x v="0"/>
    <x v="7"/>
    <n v="700"/>
    <n v="57"/>
    <n v="643"/>
    <n v="8.1428571428571441"/>
    <n v="4.3"/>
    <n v="2"/>
  </r>
  <r>
    <x v="8"/>
    <x v="0"/>
    <x v="8"/>
    <n v="700"/>
    <n v="69"/>
    <n v="631"/>
    <n v="9.8571428571428577"/>
    <n v="3.2"/>
    <n v="2"/>
  </r>
  <r>
    <x v="9"/>
    <x v="0"/>
    <x v="9"/>
    <n v="700"/>
    <n v="75"/>
    <n v="625"/>
    <n v="10.714285714285714"/>
    <n v="4"/>
    <n v="2"/>
  </r>
  <r>
    <x v="10"/>
    <x v="0"/>
    <x v="10"/>
    <n v="700"/>
    <n v="78"/>
    <n v="622"/>
    <n v="11.142857142857142"/>
    <n v="2"/>
    <n v="1"/>
  </r>
  <r>
    <x v="11"/>
    <x v="0"/>
    <x v="11"/>
    <n v="700"/>
    <n v="93"/>
    <n v="607"/>
    <n v="13.285714285714286"/>
    <n v="1.5"/>
    <n v="1"/>
  </r>
  <r>
    <x v="12"/>
    <x v="0"/>
    <x v="12"/>
    <n v="700"/>
    <n v="108"/>
    <n v="592"/>
    <n v="15.428571428571427"/>
    <n v="3.4"/>
    <n v="2"/>
  </r>
  <r>
    <x v="13"/>
    <x v="0"/>
    <x v="13"/>
    <n v="700"/>
    <n v="128"/>
    <n v="572"/>
    <n v="18.285714285714285"/>
    <n v="12.1"/>
    <n v="7"/>
  </r>
  <r>
    <x v="3"/>
    <x v="1"/>
    <x v="14"/>
    <n v="700"/>
    <n v="128"/>
    <n v="572"/>
    <n v="18.285714285714285"/>
    <n v="6.6"/>
    <n v="4"/>
  </r>
  <r>
    <x v="14"/>
    <x v="2"/>
    <x v="15"/>
    <n v="700"/>
    <n v="128"/>
    <n v="572"/>
    <n v="18.285714285714285"/>
    <n v="2"/>
    <n v="1"/>
  </r>
  <r>
    <x v="15"/>
    <x v="0"/>
    <x v="16"/>
    <n v="700"/>
    <n v="138"/>
    <n v="562"/>
    <n v="19.714285714285715"/>
    <n v="1.6"/>
    <n v="1"/>
  </r>
  <r>
    <x v="16"/>
    <x v="0"/>
    <x v="17"/>
    <n v="700"/>
    <n v="141"/>
    <n v="559"/>
    <n v="20.142857142857142"/>
    <n v="11.1"/>
    <n v="6"/>
  </r>
  <r>
    <x v="3"/>
    <x v="1"/>
    <x v="18"/>
    <n v="700"/>
    <n v="141"/>
    <n v="559"/>
    <n v="20.142857142857142"/>
    <n v="15.5"/>
    <n v="7"/>
  </r>
  <r>
    <x v="17"/>
    <x v="2"/>
    <x v="19"/>
    <n v="700"/>
    <n v="141"/>
    <n v="559"/>
    <n v="20.142857142857142"/>
    <n v="1.9"/>
    <n v="1"/>
  </r>
  <r>
    <x v="16"/>
    <x v="0"/>
    <x v="20"/>
    <n v="700"/>
    <n v="144"/>
    <n v="556"/>
    <n v="20.571428571428569"/>
    <n v="4.0999999999999996"/>
    <n v="2"/>
  </r>
  <r>
    <x v="18"/>
    <x v="1"/>
    <x v="21"/>
    <n v="700"/>
    <n v="155"/>
    <n v="545"/>
    <n v="22.142857142857142"/>
    <n v="1.5"/>
    <n v="1"/>
  </r>
  <r>
    <x v="11"/>
    <x v="0"/>
    <x v="22"/>
    <n v="700"/>
    <n v="174"/>
    <n v="526"/>
    <n v="24.857142857142858"/>
    <n v="9.5"/>
    <n v="6"/>
  </r>
  <r>
    <x v="3"/>
    <x v="1"/>
    <x v="23"/>
    <n v="700"/>
    <n v="174"/>
    <n v="526"/>
    <n v="24.857142857142858"/>
    <n v="11.3"/>
    <n v="6"/>
  </r>
  <r>
    <x v="19"/>
    <x v="2"/>
    <x v="24"/>
    <n v="700"/>
    <n v="174"/>
    <n v="526"/>
    <n v="24.857142857142858"/>
    <n v="1.8"/>
    <n v="1"/>
  </r>
  <r>
    <x v="20"/>
    <x v="0"/>
    <x v="25"/>
    <n v="700"/>
    <n v="178"/>
    <n v="522"/>
    <n v="25.428571428571427"/>
    <n v="1.9"/>
    <n v="1"/>
  </r>
  <r>
    <x v="21"/>
    <x v="0"/>
    <x v="26"/>
    <n v="700"/>
    <n v="196"/>
    <n v="504"/>
    <n v="28.000000000000004"/>
    <n v="2.1"/>
    <n v="1"/>
  </r>
  <r>
    <x v="22"/>
    <x v="0"/>
    <x v="27"/>
    <n v="700"/>
    <n v="232"/>
    <n v="468"/>
    <n v="33.142857142857139"/>
    <n v="0"/>
    <n v="0"/>
  </r>
  <r>
    <x v="23"/>
    <x v="0"/>
    <x v="28"/>
    <n v="700"/>
    <n v="236"/>
    <n v="464"/>
    <n v="33.714285714285715"/>
    <n v="2"/>
    <n v="1"/>
  </r>
  <r>
    <x v="2"/>
    <x v="0"/>
    <x v="29"/>
    <n v="700"/>
    <n v="241"/>
    <n v="459"/>
    <n v="34.428571428571431"/>
    <n v="2.1"/>
    <n v="1"/>
  </r>
  <r>
    <x v="13"/>
    <x v="0"/>
    <x v="30"/>
    <n v="700"/>
    <n v="244"/>
    <n v="456"/>
    <n v="34.857142857142861"/>
    <n v="0"/>
    <n v="0"/>
  </r>
  <r>
    <x v="24"/>
    <x v="0"/>
    <x v="31"/>
    <n v="700"/>
    <n v="261"/>
    <n v="439"/>
    <n v="37.285714285714285"/>
    <n v="2"/>
    <n v="1"/>
  </r>
  <r>
    <x v="25"/>
    <x v="0"/>
    <x v="32"/>
    <n v="700"/>
    <n v="265"/>
    <n v="435"/>
    <n v="37.857142857142854"/>
    <n v="4.0999999999999996"/>
    <n v="2"/>
  </r>
  <r>
    <x v="26"/>
    <x v="0"/>
    <x v="33"/>
    <n v="700"/>
    <n v="267"/>
    <n v="433"/>
    <n v="38.142857142857146"/>
    <n v="2.1"/>
    <n v="1"/>
  </r>
  <r>
    <x v="27"/>
    <x v="0"/>
    <x v="34"/>
    <n v="700"/>
    <n v="267"/>
    <n v="433"/>
    <n v="38.142857142857146"/>
    <n v="4.5"/>
    <n v="2"/>
  </r>
  <r>
    <x v="28"/>
    <x v="2"/>
    <x v="35"/>
    <n v="700"/>
    <n v="268"/>
    <n v="432"/>
    <n v="38.285714285714285"/>
    <n v="4.2"/>
    <n v="2"/>
  </r>
  <r>
    <x v="23"/>
    <x v="0"/>
    <x v="36"/>
    <n v="700"/>
    <n v="276"/>
    <n v="424"/>
    <n v="39.428571428571431"/>
    <n v="10.8"/>
    <n v="7"/>
  </r>
  <r>
    <x v="3"/>
    <x v="1"/>
    <x v="37"/>
    <n v="700"/>
    <n v="276"/>
    <n v="424"/>
    <n v="39.428571428571431"/>
    <n v="15.3"/>
    <n v="7"/>
  </r>
  <r>
    <x v="29"/>
    <x v="2"/>
    <x v="38"/>
    <n v="700"/>
    <n v="276"/>
    <n v="424"/>
    <n v="39.428571428571431"/>
    <n v="2.2999999999999998"/>
    <n v="1"/>
  </r>
  <r>
    <x v="30"/>
    <x v="0"/>
    <x v="39"/>
    <n v="700"/>
    <n v="281"/>
    <n v="419"/>
    <n v="40.142857142857139"/>
    <n v="0"/>
    <n v="0"/>
  </r>
  <r>
    <x v="31"/>
    <x v="2"/>
    <x v="40"/>
    <n v="700"/>
    <n v="421"/>
    <n v="279"/>
    <n v="60.142857142857139"/>
    <n v="10.7"/>
    <n v="5"/>
  </r>
  <r>
    <x v="3"/>
    <x v="1"/>
    <x v="41"/>
    <n v="700"/>
    <n v="423"/>
    <n v="277"/>
    <n v="60.428571428571431"/>
    <n v="6.2"/>
    <n v="3"/>
  </r>
  <r>
    <x v="25"/>
    <x v="0"/>
    <x v="42"/>
    <n v="700"/>
    <n v="424"/>
    <n v="276"/>
    <n v="60.571428571428577"/>
    <n v="14.3"/>
    <n v="7"/>
  </r>
  <r>
    <x v="3"/>
    <x v="1"/>
    <x v="43"/>
    <n v="700"/>
    <n v="424"/>
    <n v="276"/>
    <n v="60.571428571428577"/>
    <n v="13.3"/>
    <n v="6"/>
  </r>
  <r>
    <x v="32"/>
    <x v="2"/>
    <x v="44"/>
    <n v="700"/>
    <n v="424"/>
    <n v="276"/>
    <n v="60.571428571428577"/>
    <n v="5.6"/>
    <n v="3"/>
  </r>
  <r>
    <x v="33"/>
    <x v="2"/>
    <x v="45"/>
    <n v="700"/>
    <n v="437"/>
    <n v="263"/>
    <n v="62.428571428571431"/>
    <n v="4.5"/>
    <n v="3"/>
  </r>
  <r>
    <x v="7"/>
    <x v="0"/>
    <x v="46"/>
    <n v="700"/>
    <n v="439"/>
    <n v="261"/>
    <n v="62.714285714285708"/>
    <n v="11.8"/>
    <n v="6"/>
  </r>
  <r>
    <x v="3"/>
    <x v="1"/>
    <x v="47"/>
    <n v="700"/>
    <n v="439"/>
    <n v="261"/>
    <n v="62.714285714285708"/>
    <n v="12.3"/>
    <n v="6"/>
  </r>
  <r>
    <x v="34"/>
    <x v="2"/>
    <x v="48"/>
    <n v="700"/>
    <n v="439"/>
    <n v="261"/>
    <n v="62.714285714285708"/>
    <n v="9.4"/>
    <n v="5"/>
  </r>
  <r>
    <x v="35"/>
    <x v="2"/>
    <x v="49"/>
    <n v="700"/>
    <n v="446"/>
    <n v="254"/>
    <n v="63.714285714285715"/>
    <n v="5.2"/>
    <n v="3"/>
  </r>
  <r>
    <x v="36"/>
    <x v="2"/>
    <x v="50"/>
    <n v="700"/>
    <n v="448"/>
    <n v="252"/>
    <n v="64"/>
    <n v="6.3"/>
    <n v="3"/>
  </r>
  <r>
    <x v="37"/>
    <x v="2"/>
    <x v="51"/>
    <n v="700"/>
    <n v="448"/>
    <n v="252"/>
    <n v="64"/>
    <n v="8.1"/>
    <n v="4"/>
  </r>
  <r>
    <x v="12"/>
    <x v="0"/>
    <x v="52"/>
    <n v="700"/>
    <n v="487"/>
    <n v="213"/>
    <n v="69.571428571428569"/>
    <n v="13"/>
    <n v="6"/>
  </r>
  <r>
    <x v="38"/>
    <x v="0"/>
    <x v="53"/>
    <n v="700"/>
    <n v="487"/>
    <n v="213"/>
    <n v="69.571428571428569"/>
    <n v="15.9"/>
    <n v="7"/>
  </r>
  <r>
    <x v="39"/>
    <x v="2"/>
    <x v="54"/>
    <n v="700"/>
    <n v="487"/>
    <n v="213"/>
    <n v="69.571428571428569"/>
    <n v="11"/>
    <n v="5"/>
  </r>
  <r>
    <x v="2"/>
    <x v="0"/>
    <x v="55"/>
    <n v="700"/>
    <n v="492"/>
    <n v="208"/>
    <n v="70.285714285714278"/>
    <n v="13.4"/>
    <n v="7"/>
  </r>
  <r>
    <x v="24"/>
    <x v="0"/>
    <x v="56"/>
    <n v="700"/>
    <n v="492"/>
    <n v="208"/>
    <n v="70.285714285714278"/>
    <n v="14.4"/>
    <n v="7"/>
  </r>
  <r>
    <x v="3"/>
    <x v="1"/>
    <x v="57"/>
    <n v="700"/>
    <n v="492"/>
    <n v="208"/>
    <n v="70.285714285714278"/>
    <n v="5.9"/>
    <n v="3"/>
  </r>
  <r>
    <x v="21"/>
    <x v="0"/>
    <x v="58"/>
    <n v="700"/>
    <n v="501"/>
    <n v="199"/>
    <n v="71.571428571428569"/>
    <n v="14.7"/>
    <n v="7"/>
  </r>
  <r>
    <x v="3"/>
    <x v="1"/>
    <x v="59"/>
    <n v="700"/>
    <n v="501"/>
    <n v="199"/>
    <n v="71.571428571428569"/>
    <n v="14.8"/>
    <n v="7"/>
  </r>
  <r>
    <x v="40"/>
    <x v="2"/>
    <x v="60"/>
    <n v="700"/>
    <n v="501"/>
    <n v="199"/>
    <n v="71.571428571428569"/>
    <n v="6.7"/>
    <n v="4"/>
  </r>
  <r>
    <x v="3"/>
    <x v="1"/>
    <x v="61"/>
    <n v="700"/>
    <n v="533"/>
    <n v="167"/>
    <n v="76.142857142857139"/>
    <n v="6.2"/>
    <n v="3"/>
  </r>
  <r>
    <x v="3"/>
    <x v="1"/>
    <x v="62"/>
    <n v="700"/>
    <n v="535"/>
    <n v="165"/>
    <n v="76.428571428571416"/>
    <n v="9.1"/>
    <n v="4"/>
  </r>
  <r>
    <x v="41"/>
    <x v="2"/>
    <x v="63"/>
    <n v="700"/>
    <n v="541"/>
    <n v="159"/>
    <n v="77.285714285714292"/>
    <n v="4.9000000000000004"/>
    <n v="3"/>
  </r>
  <r>
    <x v="42"/>
    <x v="2"/>
    <x v="64"/>
    <n v="700"/>
    <n v="548"/>
    <n v="152"/>
    <n v="78.285714285714278"/>
    <n v="6.7"/>
    <n v="4"/>
  </r>
  <r>
    <x v="20"/>
    <x v="0"/>
    <x v="65"/>
    <n v="700"/>
    <n v="550"/>
    <n v="150"/>
    <n v="78.571428571428569"/>
    <n v="13.1"/>
    <n v="7"/>
  </r>
  <r>
    <x v="3"/>
    <x v="1"/>
    <x v="66"/>
    <n v="700"/>
    <n v="550"/>
    <n v="150"/>
    <n v="78.571428571428569"/>
    <n v="9.5"/>
    <n v="6"/>
  </r>
  <r>
    <x v="43"/>
    <x v="2"/>
    <x v="67"/>
    <n v="700"/>
    <n v="550"/>
    <n v="150"/>
    <n v="78.571428571428569"/>
    <n v="4.5999999999999996"/>
    <n v="3"/>
  </r>
  <r>
    <x v="5"/>
    <x v="0"/>
    <x v="68"/>
    <n v="700"/>
    <n v="558"/>
    <n v="142"/>
    <n v="79.714285714285722"/>
    <n v="10.7"/>
    <n v="6"/>
  </r>
  <r>
    <x v="44"/>
    <x v="0"/>
    <x v="69"/>
    <n v="700"/>
    <n v="558"/>
    <n v="142"/>
    <n v="79.714285714285722"/>
    <n v="13"/>
    <n v="6"/>
  </r>
  <r>
    <x v="45"/>
    <x v="2"/>
    <x v="70"/>
    <n v="700"/>
    <n v="558"/>
    <n v="142"/>
    <n v="79.714285714285722"/>
    <n v="5.3"/>
    <n v="3"/>
  </r>
  <r>
    <x v="46"/>
    <x v="2"/>
    <x v="3"/>
    <n v="700"/>
    <n v="558"/>
    <n v="142"/>
    <n v="79.714285714285722"/>
    <n v="8.9"/>
    <n v="5"/>
  </r>
  <r>
    <x v="27"/>
    <x v="0"/>
    <x v="71"/>
    <n v="700"/>
    <n v="559"/>
    <n v="141"/>
    <n v="79.857142857142861"/>
    <n v="15.7"/>
    <n v="7"/>
  </r>
  <r>
    <x v="47"/>
    <x v="0"/>
    <x v="72"/>
    <n v="700"/>
    <n v="559"/>
    <n v="141"/>
    <n v="79.857142857142861"/>
    <n v="11.9"/>
    <n v="6"/>
  </r>
  <r>
    <x v="48"/>
    <x v="2"/>
    <x v="73"/>
    <n v="700"/>
    <n v="559"/>
    <n v="141"/>
    <n v="79.857142857142861"/>
    <n v="7.2"/>
    <n v="4"/>
  </r>
  <r>
    <x v="49"/>
    <x v="2"/>
    <x v="74"/>
    <n v="700"/>
    <n v="564"/>
    <n v="136"/>
    <n v="80.571428571428569"/>
    <n v="5.5"/>
    <n v="3"/>
  </r>
  <r>
    <x v="10"/>
    <x v="0"/>
    <x v="75"/>
    <n v="700"/>
    <n v="565"/>
    <n v="135"/>
    <n v="80.714285714285722"/>
    <n v="11.3"/>
    <n v="7"/>
  </r>
  <r>
    <x v="3"/>
    <x v="1"/>
    <x v="76"/>
    <n v="700"/>
    <n v="565"/>
    <n v="135"/>
    <n v="80.714285714285722"/>
    <n v="10.3"/>
    <n v="6"/>
  </r>
  <r>
    <x v="50"/>
    <x v="2"/>
    <x v="67"/>
    <n v="700"/>
    <n v="565"/>
    <n v="135"/>
    <n v="80.714285714285722"/>
    <n v="8.6999999999999993"/>
    <n v="4"/>
  </r>
  <r>
    <x v="51"/>
    <x v="2"/>
    <x v="77"/>
    <n v="700"/>
    <n v="593"/>
    <n v="107"/>
    <n v="84.714285714285722"/>
    <n v="10"/>
    <n v="5"/>
  </r>
  <r>
    <x v="8"/>
    <x v="0"/>
    <x v="78"/>
    <n v="700"/>
    <n v="609"/>
    <n v="91"/>
    <n v="87"/>
    <n v="9"/>
    <n v="6"/>
  </r>
  <r>
    <x v="26"/>
    <x v="0"/>
    <x v="79"/>
    <n v="700"/>
    <n v="609"/>
    <n v="91"/>
    <n v="87"/>
    <n v="13.8"/>
    <n v="7"/>
  </r>
  <r>
    <x v="52"/>
    <x v="0"/>
    <x v="80"/>
    <n v="700"/>
    <n v="609"/>
    <n v="91"/>
    <n v="87"/>
    <n v="10.1"/>
    <n v="6"/>
  </r>
  <r>
    <x v="53"/>
    <x v="0"/>
    <x v="81"/>
    <n v="700"/>
    <n v="609"/>
    <n v="91"/>
    <n v="87"/>
    <n v="13.3"/>
    <n v="6"/>
  </r>
  <r>
    <x v="54"/>
    <x v="2"/>
    <x v="82"/>
    <n v="700"/>
    <n v="609"/>
    <n v="91"/>
    <n v="87"/>
    <n v="8.6"/>
    <n v="5"/>
  </r>
  <r>
    <x v="55"/>
    <x v="2"/>
    <x v="83"/>
    <n v="700"/>
    <n v="609"/>
    <n v="91"/>
    <n v="87"/>
    <n v="8.6"/>
    <n v="4"/>
  </r>
  <r>
    <x v="56"/>
    <x v="2"/>
    <x v="84"/>
    <n v="700"/>
    <n v="612"/>
    <n v="88"/>
    <n v="87.428571428571431"/>
    <n v="8"/>
    <n v="5"/>
  </r>
  <r>
    <x v="15"/>
    <x v="0"/>
    <x v="85"/>
    <n v="700"/>
    <n v="647"/>
    <n v="53"/>
    <n v="92.428571428571431"/>
    <n v="15.8"/>
    <n v="7"/>
  </r>
  <r>
    <x v="57"/>
    <x v="0"/>
    <x v="86"/>
    <n v="700"/>
    <n v="647"/>
    <n v="53"/>
    <n v="92.428571428571431"/>
    <n v="15"/>
    <n v="7"/>
  </r>
  <r>
    <x v="58"/>
    <x v="2"/>
    <x v="87"/>
    <n v="700"/>
    <n v="647"/>
    <n v="53"/>
    <n v="92.428571428571431"/>
    <n v="5.8"/>
    <n v="3"/>
  </r>
  <r>
    <x v="22"/>
    <x v="0"/>
    <x v="76"/>
    <n v="700"/>
    <n v="649"/>
    <n v="51"/>
    <n v="92.714285714285722"/>
    <n v="13"/>
    <n v="7"/>
  </r>
  <r>
    <x v="3"/>
    <x v="1"/>
    <x v="88"/>
    <n v="700"/>
    <n v="649"/>
    <n v="51"/>
    <n v="92.714285714285722"/>
    <n v="9.6999999999999993"/>
    <n v="6"/>
  </r>
  <r>
    <x v="59"/>
    <x v="2"/>
    <x v="89"/>
    <n v="700"/>
    <n v="649"/>
    <n v="51"/>
    <n v="92.714285714285722"/>
    <n v="8.6"/>
    <n v="5"/>
  </r>
  <r>
    <x v="30"/>
    <x v="0"/>
    <x v="90"/>
    <n v="700"/>
    <n v="650"/>
    <n v="50"/>
    <n v="92.857142857142861"/>
    <n v="9.9"/>
    <n v="6"/>
  </r>
  <r>
    <x v="9"/>
    <x v="0"/>
    <x v="91"/>
    <n v="700"/>
    <n v="650"/>
    <n v="50"/>
    <n v="92.857142857142861"/>
    <n v="13.5"/>
    <n v="7"/>
  </r>
  <r>
    <x v="3"/>
    <x v="1"/>
    <x v="92"/>
    <n v="700"/>
    <n v="650"/>
    <n v="50"/>
    <n v="92.857142857142861"/>
    <n v="7.7"/>
    <n v="4"/>
  </r>
  <r>
    <x v="30"/>
    <x v="0"/>
    <x v="93"/>
    <n v="700"/>
    <n v="700"/>
    <n v="0"/>
    <n v="100"/>
    <n v="11.2"/>
    <n v="7"/>
  </r>
  <r>
    <x v="5"/>
    <x v="0"/>
    <x v="14"/>
    <n v="700"/>
    <n v="700"/>
    <n v="0"/>
    <n v="100"/>
    <n v="11.3"/>
    <n v="7"/>
  </r>
  <r>
    <x v="8"/>
    <x v="0"/>
    <x v="94"/>
    <n v="700"/>
    <n v="700"/>
    <n v="0"/>
    <n v="100"/>
    <n v="10.3"/>
    <n v="6"/>
  </r>
  <r>
    <x v="6"/>
    <x v="0"/>
    <x v="93"/>
    <n v="700"/>
    <n v="700"/>
    <n v="0"/>
    <n v="100"/>
    <n v="10.1"/>
    <n v="6"/>
  </r>
  <r>
    <x v="60"/>
    <x v="3"/>
    <x v="95"/>
    <m/>
    <m/>
    <m/>
    <m/>
    <m/>
    <m/>
  </r>
  <r>
    <x v="60"/>
    <x v="3"/>
    <x v="95"/>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2-01T00:00:00"/>
    <x v="0"/>
    <x v="0"/>
    <n v="700"/>
    <n v="8"/>
    <n v="692"/>
    <n v="1.1428571428571428"/>
    <n v="3.1"/>
    <n v="2"/>
    <x v="0"/>
  </r>
  <r>
    <d v="2026-01-31T00:00:00"/>
    <x v="1"/>
    <x v="1"/>
    <n v="700"/>
    <n v="18"/>
    <n v="682"/>
    <n v="2.5714285714285712"/>
    <n v="0"/>
    <n v="0"/>
    <x v="0"/>
  </r>
  <r>
    <d v="2026-02-16T00:00:00"/>
    <x v="0"/>
    <x v="2"/>
    <n v="700"/>
    <n v="34"/>
    <n v="666"/>
    <n v="4.8571428571428568"/>
    <n v="14.7"/>
    <n v="7"/>
    <x v="0"/>
  </r>
  <r>
    <d v="2026-01-01T00:00:00"/>
    <x v="1"/>
    <x v="3"/>
    <n v="700"/>
    <n v="34"/>
    <n v="666"/>
    <n v="4.8571428571428568"/>
    <n v="7.7"/>
    <n v="4"/>
    <x v="0"/>
  </r>
  <r>
    <d v="2026-03-28T00:00:00"/>
    <x v="2"/>
    <x v="4"/>
    <n v="700"/>
    <n v="34"/>
    <n v="666"/>
    <n v="4.8571428571428568"/>
    <n v="0"/>
    <n v="0"/>
    <x v="0"/>
  </r>
  <r>
    <d v="2026-02-18T00:00:00"/>
    <x v="0"/>
    <x v="5"/>
    <n v="700"/>
    <n v="34"/>
    <n v="666"/>
    <n v="4.8571428571428568"/>
    <n v="1.7"/>
    <n v="1"/>
    <x v="0"/>
  </r>
  <r>
    <d v="2026-02-20T00:00:00"/>
    <x v="0"/>
    <x v="6"/>
    <n v="700"/>
    <n v="45"/>
    <n v="655"/>
    <n v="6.4285714285714279"/>
    <n v="0"/>
    <n v="0"/>
    <x v="0"/>
  </r>
  <r>
    <d v="2026-02-11T00:00:00"/>
    <x v="0"/>
    <x v="7"/>
    <n v="700"/>
    <n v="57"/>
    <n v="643"/>
    <n v="8.1428571428571441"/>
    <n v="4.3"/>
    <n v="2"/>
    <x v="0"/>
  </r>
  <r>
    <d v="2026-02-19T00:00:00"/>
    <x v="0"/>
    <x v="8"/>
    <n v="700"/>
    <n v="69"/>
    <n v="631"/>
    <n v="9.8571428571428577"/>
    <n v="3.2"/>
    <n v="2"/>
    <x v="0"/>
  </r>
  <r>
    <d v="2026-02-22T00:00:00"/>
    <x v="0"/>
    <x v="9"/>
    <n v="700"/>
    <n v="75"/>
    <n v="625"/>
    <n v="10.714285714285714"/>
    <n v="4"/>
    <n v="2"/>
    <x v="0"/>
  </r>
  <r>
    <d v="2026-02-08T00:00:00"/>
    <x v="0"/>
    <x v="10"/>
    <n v="700"/>
    <n v="78"/>
    <n v="622"/>
    <n v="11.142857142857142"/>
    <n v="2"/>
    <n v="1"/>
    <x v="0"/>
  </r>
  <r>
    <d v="2026-02-12T00:00:00"/>
    <x v="0"/>
    <x v="11"/>
    <n v="700"/>
    <n v="93"/>
    <n v="607"/>
    <n v="13.285714285714286"/>
    <n v="1.5"/>
    <n v="1"/>
    <x v="0"/>
  </r>
  <r>
    <d v="2026-02-02T00:00:00"/>
    <x v="0"/>
    <x v="12"/>
    <n v="700"/>
    <n v="108"/>
    <n v="592"/>
    <n v="15.428571428571427"/>
    <n v="3.4"/>
    <n v="2"/>
    <x v="0"/>
  </r>
  <r>
    <d v="2026-02-15T00:00:00"/>
    <x v="0"/>
    <x v="13"/>
    <n v="700"/>
    <n v="128"/>
    <n v="572"/>
    <n v="18.285714285714285"/>
    <n v="12.1"/>
    <n v="7"/>
    <x v="0"/>
  </r>
  <r>
    <d v="2026-01-01T00:00:00"/>
    <x v="1"/>
    <x v="14"/>
    <n v="700"/>
    <n v="128"/>
    <n v="572"/>
    <n v="18.285714285714285"/>
    <n v="6.6"/>
    <n v="4"/>
    <x v="0"/>
  </r>
  <r>
    <d v="2026-03-27T00:00:00"/>
    <x v="2"/>
    <x v="15"/>
    <n v="700"/>
    <n v="128"/>
    <n v="572"/>
    <n v="18.285714285714285"/>
    <n v="2"/>
    <n v="1"/>
    <x v="0"/>
  </r>
  <r>
    <d v="2026-02-04T00:00:00"/>
    <x v="0"/>
    <x v="16"/>
    <n v="700"/>
    <n v="138"/>
    <n v="562"/>
    <n v="19.714285714285715"/>
    <n v="1.6"/>
    <n v="1"/>
    <x v="0"/>
  </r>
  <r>
    <d v="2026-02-13T00:00:00"/>
    <x v="0"/>
    <x v="17"/>
    <n v="700"/>
    <n v="141"/>
    <n v="559"/>
    <n v="20.142857142857142"/>
    <n v="11.1"/>
    <n v="6"/>
    <x v="0"/>
  </r>
  <r>
    <d v="2026-01-01T00:00:00"/>
    <x v="1"/>
    <x v="18"/>
    <n v="700"/>
    <n v="141"/>
    <n v="559"/>
    <n v="20.142857142857142"/>
    <n v="15.5"/>
    <n v="7"/>
    <x v="0"/>
  </r>
  <r>
    <d v="2026-03-25T00:00:00"/>
    <x v="2"/>
    <x v="19"/>
    <n v="700"/>
    <n v="141"/>
    <n v="559"/>
    <n v="20.142857142857142"/>
    <n v="1.9"/>
    <n v="1"/>
    <x v="0"/>
  </r>
  <r>
    <d v="2026-02-13T00:00:00"/>
    <x v="0"/>
    <x v="20"/>
    <n v="700"/>
    <n v="144"/>
    <n v="556"/>
    <n v="20.571428571428569"/>
    <n v="4.0999999999999996"/>
    <n v="2"/>
    <x v="0"/>
  </r>
  <r>
    <d v="2026-01-30T00:00:00"/>
    <x v="1"/>
    <x v="21"/>
    <n v="700"/>
    <n v="155"/>
    <n v="545"/>
    <n v="22.142857142857142"/>
    <n v="1.5"/>
    <n v="1"/>
    <x v="0"/>
  </r>
  <r>
    <d v="2026-02-12T00:00:00"/>
    <x v="0"/>
    <x v="22"/>
    <n v="700"/>
    <n v="174"/>
    <n v="526"/>
    <n v="24.857142857142858"/>
    <n v="9.5"/>
    <n v="6"/>
    <x v="0"/>
  </r>
  <r>
    <d v="2026-01-01T00:00:00"/>
    <x v="1"/>
    <x v="23"/>
    <n v="700"/>
    <n v="174"/>
    <n v="526"/>
    <n v="24.857142857142858"/>
    <n v="11.3"/>
    <n v="6"/>
    <x v="0"/>
  </r>
  <r>
    <d v="2026-03-24T00:00:00"/>
    <x v="2"/>
    <x v="24"/>
    <n v="700"/>
    <n v="174"/>
    <n v="526"/>
    <n v="24.857142857142858"/>
    <n v="1.8"/>
    <n v="1"/>
    <x v="0"/>
  </r>
  <r>
    <d v="2026-02-06T00:00:00"/>
    <x v="0"/>
    <x v="25"/>
    <n v="700"/>
    <n v="178"/>
    <n v="522"/>
    <n v="25.428571428571427"/>
    <n v="1.9"/>
    <n v="1"/>
    <x v="0"/>
  </r>
  <r>
    <d v="2026-02-09T00:00:00"/>
    <x v="0"/>
    <x v="26"/>
    <n v="700"/>
    <n v="196"/>
    <n v="504"/>
    <n v="28.000000000000004"/>
    <n v="2.1"/>
    <n v="1"/>
    <x v="0"/>
  </r>
  <r>
    <d v="2026-02-07T00:00:00"/>
    <x v="0"/>
    <x v="27"/>
    <n v="700"/>
    <n v="232"/>
    <n v="468"/>
    <n v="33.142857142857139"/>
    <n v="0"/>
    <n v="0"/>
    <x v="0"/>
  </r>
  <r>
    <d v="2026-02-14T00:00:00"/>
    <x v="0"/>
    <x v="28"/>
    <n v="700"/>
    <n v="236"/>
    <n v="464"/>
    <n v="33.714285714285715"/>
    <n v="2"/>
    <n v="1"/>
    <x v="0"/>
  </r>
  <r>
    <d v="2026-02-16T00:00:00"/>
    <x v="0"/>
    <x v="29"/>
    <n v="700"/>
    <n v="241"/>
    <n v="459"/>
    <n v="34.428571428571431"/>
    <n v="2.1"/>
    <n v="1"/>
    <x v="0"/>
  </r>
  <r>
    <d v="2026-02-15T00:00:00"/>
    <x v="0"/>
    <x v="30"/>
    <n v="700"/>
    <n v="244"/>
    <n v="456"/>
    <n v="34.857142857142861"/>
    <n v="0"/>
    <n v="0"/>
    <x v="0"/>
  </r>
  <r>
    <d v="2026-02-21T00:00:00"/>
    <x v="0"/>
    <x v="31"/>
    <n v="700"/>
    <n v="261"/>
    <n v="439"/>
    <n v="37.285714285714285"/>
    <n v="2"/>
    <n v="1"/>
    <x v="0"/>
  </r>
  <r>
    <d v="2026-02-10T00:00:00"/>
    <x v="0"/>
    <x v="32"/>
    <n v="700"/>
    <n v="265"/>
    <n v="435"/>
    <n v="37.857142857142854"/>
    <n v="4.0999999999999996"/>
    <n v="2"/>
    <x v="0"/>
  </r>
  <r>
    <d v="2026-02-03T00:00:00"/>
    <x v="0"/>
    <x v="33"/>
    <n v="700"/>
    <n v="267"/>
    <n v="433"/>
    <n v="38.142857142857146"/>
    <n v="2.1"/>
    <n v="1"/>
    <x v="0"/>
  </r>
  <r>
    <d v="2026-02-05T00:00:00"/>
    <x v="0"/>
    <x v="34"/>
    <n v="700"/>
    <n v="267"/>
    <n v="433"/>
    <n v="38.142857142857146"/>
    <n v="4.5"/>
    <n v="2"/>
    <x v="0"/>
  </r>
  <r>
    <d v="2026-03-29T00:00:00"/>
    <x v="2"/>
    <x v="35"/>
    <n v="700"/>
    <n v="268"/>
    <n v="432"/>
    <n v="38.285714285714285"/>
    <n v="4.2"/>
    <n v="2"/>
    <x v="0"/>
  </r>
  <r>
    <d v="2026-02-14T00:00:00"/>
    <x v="0"/>
    <x v="36"/>
    <n v="700"/>
    <n v="276"/>
    <n v="424"/>
    <n v="39.428571428571431"/>
    <n v="10.8"/>
    <n v="7"/>
    <x v="0"/>
  </r>
  <r>
    <d v="2026-01-01T00:00:00"/>
    <x v="1"/>
    <x v="37"/>
    <n v="700"/>
    <n v="276"/>
    <n v="424"/>
    <n v="39.428571428571431"/>
    <n v="15.3"/>
    <n v="7"/>
    <x v="0"/>
  </r>
  <r>
    <d v="2026-03-26T00:00:00"/>
    <x v="2"/>
    <x v="38"/>
    <n v="700"/>
    <n v="276"/>
    <n v="424"/>
    <n v="39.428571428571431"/>
    <n v="2.2999999999999998"/>
    <n v="1"/>
    <x v="0"/>
  </r>
  <r>
    <d v="2026-02-17T00:00:00"/>
    <x v="0"/>
    <x v="39"/>
    <n v="700"/>
    <n v="281"/>
    <n v="419"/>
    <n v="40.142857142857139"/>
    <n v="0"/>
    <n v="0"/>
    <x v="0"/>
  </r>
  <r>
    <d v="2026-03-21T00:00:00"/>
    <x v="2"/>
    <x v="40"/>
    <n v="700"/>
    <n v="421"/>
    <n v="279"/>
    <n v="60.142857142857139"/>
    <n v="10.7"/>
    <n v="5"/>
    <x v="1"/>
  </r>
  <r>
    <d v="2026-01-01T00:00:00"/>
    <x v="1"/>
    <x v="41"/>
    <n v="700"/>
    <n v="423"/>
    <n v="277"/>
    <n v="60.428571428571431"/>
    <n v="6.2"/>
    <n v="3"/>
    <x v="1"/>
  </r>
  <r>
    <d v="2026-02-10T00:00:00"/>
    <x v="0"/>
    <x v="42"/>
    <n v="700"/>
    <n v="424"/>
    <n v="276"/>
    <n v="60.571428571428577"/>
    <n v="14.3"/>
    <n v="7"/>
    <x v="1"/>
  </r>
  <r>
    <d v="2026-01-01T00:00:00"/>
    <x v="1"/>
    <x v="43"/>
    <n v="700"/>
    <n v="424"/>
    <n v="276"/>
    <n v="60.571428571428577"/>
    <n v="13.3"/>
    <n v="6"/>
    <x v="1"/>
  </r>
  <r>
    <d v="2026-03-16T00:00:00"/>
    <x v="2"/>
    <x v="44"/>
    <n v="700"/>
    <n v="424"/>
    <n v="276"/>
    <n v="60.571428571428577"/>
    <n v="5.6"/>
    <n v="3"/>
    <x v="1"/>
  </r>
  <r>
    <d v="2026-03-06T00:00:00"/>
    <x v="2"/>
    <x v="45"/>
    <n v="700"/>
    <n v="437"/>
    <n v="263"/>
    <n v="62.428571428571431"/>
    <n v="4.5"/>
    <n v="3"/>
    <x v="1"/>
  </r>
  <r>
    <d v="2026-02-11T00:00:00"/>
    <x v="0"/>
    <x v="46"/>
    <n v="700"/>
    <n v="439"/>
    <n v="261"/>
    <n v="62.714285714285708"/>
    <n v="11.8"/>
    <n v="6"/>
    <x v="1"/>
  </r>
  <r>
    <d v="2026-01-01T00:00:00"/>
    <x v="1"/>
    <x v="47"/>
    <n v="700"/>
    <n v="439"/>
    <n v="261"/>
    <n v="62.714285714285708"/>
    <n v="12.3"/>
    <n v="6"/>
    <x v="1"/>
  </r>
  <r>
    <d v="2026-03-23T00:00:00"/>
    <x v="2"/>
    <x v="48"/>
    <n v="700"/>
    <n v="439"/>
    <n v="261"/>
    <n v="62.714285714285708"/>
    <n v="9.4"/>
    <n v="5"/>
    <x v="1"/>
  </r>
  <r>
    <d v="2026-03-09T00:00:00"/>
    <x v="2"/>
    <x v="49"/>
    <n v="700"/>
    <n v="446"/>
    <n v="254"/>
    <n v="63.714285714285715"/>
    <n v="5.2"/>
    <n v="3"/>
    <x v="1"/>
  </r>
  <r>
    <d v="2026-03-19T00:00:00"/>
    <x v="2"/>
    <x v="50"/>
    <n v="700"/>
    <n v="448"/>
    <n v="252"/>
    <n v="64"/>
    <n v="6.3"/>
    <n v="3"/>
    <x v="1"/>
  </r>
  <r>
    <d v="2026-03-20T00:00:00"/>
    <x v="2"/>
    <x v="51"/>
    <n v="700"/>
    <n v="448"/>
    <n v="252"/>
    <n v="64"/>
    <n v="8.1"/>
    <n v="4"/>
    <x v="1"/>
  </r>
  <r>
    <d v="2026-02-02T00:00:00"/>
    <x v="0"/>
    <x v="52"/>
    <n v="700"/>
    <n v="487"/>
    <n v="213"/>
    <n v="69.571428571428569"/>
    <n v="13"/>
    <n v="6"/>
    <x v="1"/>
  </r>
  <r>
    <d v="2026-02-25T00:00:00"/>
    <x v="0"/>
    <x v="53"/>
    <n v="700"/>
    <n v="487"/>
    <n v="213"/>
    <n v="69.571428571428569"/>
    <n v="15.9"/>
    <n v="7"/>
    <x v="1"/>
  </r>
  <r>
    <d v="2026-03-03T00:00:00"/>
    <x v="2"/>
    <x v="54"/>
    <n v="700"/>
    <n v="487"/>
    <n v="213"/>
    <n v="69.571428571428569"/>
    <n v="11"/>
    <n v="5"/>
    <x v="1"/>
  </r>
  <r>
    <d v="2026-02-16T00:00:00"/>
    <x v="0"/>
    <x v="55"/>
    <n v="700"/>
    <n v="492"/>
    <n v="208"/>
    <n v="70.285714285714278"/>
    <n v="13.4"/>
    <n v="7"/>
    <x v="1"/>
  </r>
  <r>
    <d v="2026-02-21T00:00:00"/>
    <x v="0"/>
    <x v="56"/>
    <n v="700"/>
    <n v="492"/>
    <n v="208"/>
    <n v="70.285714285714278"/>
    <n v="14.4"/>
    <n v="7"/>
    <x v="1"/>
  </r>
  <r>
    <d v="2026-01-01T00:00:00"/>
    <x v="1"/>
    <x v="57"/>
    <n v="700"/>
    <n v="492"/>
    <n v="208"/>
    <n v="70.285714285714278"/>
    <n v="5.9"/>
    <n v="3"/>
    <x v="1"/>
  </r>
  <r>
    <d v="2026-02-09T00:00:00"/>
    <x v="0"/>
    <x v="58"/>
    <n v="700"/>
    <n v="501"/>
    <n v="199"/>
    <n v="71.571428571428569"/>
    <n v="14.7"/>
    <n v="7"/>
    <x v="1"/>
  </r>
  <r>
    <d v="2026-01-01T00:00:00"/>
    <x v="1"/>
    <x v="59"/>
    <n v="700"/>
    <n v="501"/>
    <n v="199"/>
    <n v="71.571428571428569"/>
    <n v="14.8"/>
    <n v="7"/>
    <x v="1"/>
  </r>
  <r>
    <d v="2026-03-15T00:00:00"/>
    <x v="2"/>
    <x v="60"/>
    <n v="700"/>
    <n v="501"/>
    <n v="199"/>
    <n v="71.571428571428569"/>
    <n v="6.7"/>
    <n v="4"/>
    <x v="1"/>
  </r>
  <r>
    <d v="2026-01-01T00:00:00"/>
    <x v="1"/>
    <x v="61"/>
    <n v="700"/>
    <n v="533"/>
    <n v="167"/>
    <n v="76.142857142857139"/>
    <n v="6.2"/>
    <n v="3"/>
    <x v="1"/>
  </r>
  <r>
    <d v="2026-01-01T00:00:00"/>
    <x v="1"/>
    <x v="62"/>
    <n v="700"/>
    <n v="535"/>
    <n v="165"/>
    <n v="76.428571428571416"/>
    <n v="9.1"/>
    <n v="4"/>
    <x v="1"/>
  </r>
  <r>
    <d v="2026-03-08T00:00:00"/>
    <x v="2"/>
    <x v="63"/>
    <n v="700"/>
    <n v="541"/>
    <n v="159"/>
    <n v="77.285714285714292"/>
    <n v="4.9000000000000004"/>
    <n v="3"/>
    <x v="1"/>
  </r>
  <r>
    <d v="2026-03-07T00:00:00"/>
    <x v="2"/>
    <x v="64"/>
    <n v="700"/>
    <n v="548"/>
    <n v="152"/>
    <n v="78.285714285714278"/>
    <n v="6.7"/>
    <n v="4"/>
    <x v="1"/>
  </r>
  <r>
    <d v="2026-02-06T00:00:00"/>
    <x v="0"/>
    <x v="65"/>
    <n v="700"/>
    <n v="550"/>
    <n v="150"/>
    <n v="78.571428571428569"/>
    <n v="13.1"/>
    <n v="7"/>
    <x v="1"/>
  </r>
  <r>
    <d v="2026-01-01T00:00:00"/>
    <x v="1"/>
    <x v="66"/>
    <n v="700"/>
    <n v="550"/>
    <n v="150"/>
    <n v="78.571428571428569"/>
    <n v="9.5"/>
    <n v="6"/>
    <x v="1"/>
  </r>
  <r>
    <d v="2026-03-12T00:00:00"/>
    <x v="2"/>
    <x v="67"/>
    <n v="700"/>
    <n v="550"/>
    <n v="150"/>
    <n v="78.571428571428569"/>
    <n v="4.5999999999999996"/>
    <n v="3"/>
    <x v="1"/>
  </r>
  <r>
    <d v="2026-02-18T00:00:00"/>
    <x v="0"/>
    <x v="68"/>
    <n v="700"/>
    <n v="558"/>
    <n v="142"/>
    <n v="79.714285714285722"/>
    <n v="10.7"/>
    <n v="6"/>
    <x v="1"/>
  </r>
  <r>
    <d v="2026-02-23T00:00:00"/>
    <x v="0"/>
    <x v="69"/>
    <n v="700"/>
    <n v="558"/>
    <n v="142"/>
    <n v="79.714285714285722"/>
    <n v="13"/>
    <n v="6"/>
    <x v="1"/>
  </r>
  <r>
    <d v="2026-03-01T00:00:00"/>
    <x v="2"/>
    <x v="70"/>
    <n v="700"/>
    <n v="558"/>
    <n v="142"/>
    <n v="79.714285714285722"/>
    <n v="5.3"/>
    <n v="3"/>
    <x v="1"/>
  </r>
  <r>
    <d v="2026-03-17T00:00:00"/>
    <x v="2"/>
    <x v="3"/>
    <n v="700"/>
    <n v="558"/>
    <n v="142"/>
    <n v="79.714285714285722"/>
    <n v="8.9"/>
    <n v="5"/>
    <x v="1"/>
  </r>
  <r>
    <d v="2026-02-05T00:00:00"/>
    <x v="0"/>
    <x v="71"/>
    <n v="700"/>
    <n v="559"/>
    <n v="141"/>
    <n v="79.857142857142861"/>
    <n v="15.7"/>
    <n v="7"/>
    <x v="1"/>
  </r>
  <r>
    <d v="2026-02-28T00:00:00"/>
    <x v="0"/>
    <x v="72"/>
    <n v="700"/>
    <n v="559"/>
    <n v="141"/>
    <n v="79.857142857142861"/>
    <n v="11.9"/>
    <n v="6"/>
    <x v="1"/>
  </r>
  <r>
    <d v="2026-03-11T00:00:00"/>
    <x v="2"/>
    <x v="73"/>
    <n v="700"/>
    <n v="559"/>
    <n v="141"/>
    <n v="79.857142857142861"/>
    <n v="7.2"/>
    <n v="4"/>
    <x v="1"/>
  </r>
  <r>
    <d v="2026-03-22T00:00:00"/>
    <x v="2"/>
    <x v="74"/>
    <n v="700"/>
    <n v="564"/>
    <n v="136"/>
    <n v="80.571428571428569"/>
    <n v="5.5"/>
    <n v="3"/>
    <x v="1"/>
  </r>
  <r>
    <d v="2026-02-08T00:00:00"/>
    <x v="0"/>
    <x v="75"/>
    <n v="700"/>
    <n v="565"/>
    <n v="135"/>
    <n v="80.714285714285722"/>
    <n v="11.3"/>
    <n v="7"/>
    <x v="1"/>
  </r>
  <r>
    <d v="2026-01-01T00:00:00"/>
    <x v="1"/>
    <x v="76"/>
    <n v="700"/>
    <n v="565"/>
    <n v="135"/>
    <n v="80.714285714285722"/>
    <n v="10.3"/>
    <n v="6"/>
    <x v="1"/>
  </r>
  <r>
    <d v="2026-03-14T00:00:00"/>
    <x v="2"/>
    <x v="67"/>
    <n v="700"/>
    <n v="565"/>
    <n v="135"/>
    <n v="80.714285714285722"/>
    <n v="8.6999999999999993"/>
    <n v="4"/>
    <x v="1"/>
  </r>
  <r>
    <d v="2026-03-18T00:00:00"/>
    <x v="2"/>
    <x v="77"/>
    <n v="700"/>
    <n v="593"/>
    <n v="107"/>
    <n v="84.714285714285722"/>
    <n v="10"/>
    <n v="5"/>
    <x v="1"/>
  </r>
  <r>
    <d v="2026-02-19T00:00:00"/>
    <x v="0"/>
    <x v="78"/>
    <n v="700"/>
    <n v="609"/>
    <n v="91"/>
    <n v="87"/>
    <n v="9"/>
    <n v="6"/>
    <x v="1"/>
  </r>
  <r>
    <d v="2026-02-03T00:00:00"/>
    <x v="0"/>
    <x v="79"/>
    <n v="700"/>
    <n v="609"/>
    <n v="91"/>
    <n v="87"/>
    <n v="13.8"/>
    <n v="7"/>
    <x v="1"/>
  </r>
  <r>
    <d v="2026-02-24T00:00:00"/>
    <x v="0"/>
    <x v="80"/>
    <n v="700"/>
    <n v="609"/>
    <n v="91"/>
    <n v="87"/>
    <n v="10.1"/>
    <n v="6"/>
    <x v="1"/>
  </r>
  <r>
    <d v="2026-02-26T00:00:00"/>
    <x v="0"/>
    <x v="81"/>
    <n v="700"/>
    <n v="609"/>
    <n v="91"/>
    <n v="87"/>
    <n v="13.3"/>
    <n v="6"/>
    <x v="1"/>
  </r>
  <r>
    <d v="2026-03-02T00:00:00"/>
    <x v="2"/>
    <x v="82"/>
    <n v="700"/>
    <n v="609"/>
    <n v="91"/>
    <n v="87"/>
    <n v="8.6"/>
    <n v="5"/>
    <x v="1"/>
  </r>
  <r>
    <d v="2026-03-04T00:00:00"/>
    <x v="2"/>
    <x v="83"/>
    <n v="700"/>
    <n v="609"/>
    <n v="91"/>
    <n v="87"/>
    <n v="8.6"/>
    <n v="4"/>
    <x v="1"/>
  </r>
  <r>
    <d v="2026-03-10T00:00:00"/>
    <x v="2"/>
    <x v="84"/>
    <n v="700"/>
    <n v="612"/>
    <n v="88"/>
    <n v="87.428571428571431"/>
    <n v="8"/>
    <n v="5"/>
    <x v="1"/>
  </r>
  <r>
    <d v="2026-02-04T00:00:00"/>
    <x v="0"/>
    <x v="85"/>
    <n v="700"/>
    <n v="647"/>
    <n v="53"/>
    <n v="92.428571428571431"/>
    <n v="15.8"/>
    <n v="7"/>
    <x v="1"/>
  </r>
  <r>
    <d v="2026-02-27T00:00:00"/>
    <x v="0"/>
    <x v="86"/>
    <n v="700"/>
    <n v="647"/>
    <n v="53"/>
    <n v="92.428571428571431"/>
    <n v="15"/>
    <n v="7"/>
    <x v="1"/>
  </r>
  <r>
    <d v="2026-03-05T00:00:00"/>
    <x v="2"/>
    <x v="87"/>
    <n v="700"/>
    <n v="647"/>
    <n v="53"/>
    <n v="92.428571428571431"/>
    <n v="5.8"/>
    <n v="3"/>
    <x v="1"/>
  </r>
  <r>
    <d v="2026-02-07T00:00:00"/>
    <x v="0"/>
    <x v="76"/>
    <n v="700"/>
    <n v="649"/>
    <n v="51"/>
    <n v="92.714285714285722"/>
    <n v="13"/>
    <n v="7"/>
    <x v="1"/>
  </r>
  <r>
    <d v="2026-01-01T00:00:00"/>
    <x v="1"/>
    <x v="88"/>
    <n v="700"/>
    <n v="649"/>
    <n v="51"/>
    <n v="92.714285714285722"/>
    <n v="9.6999999999999993"/>
    <n v="6"/>
    <x v="1"/>
  </r>
  <r>
    <d v="2026-03-13T00:00:00"/>
    <x v="2"/>
    <x v="89"/>
    <n v="700"/>
    <n v="649"/>
    <n v="51"/>
    <n v="92.714285714285722"/>
    <n v="8.6"/>
    <n v="5"/>
    <x v="1"/>
  </r>
  <r>
    <d v="2026-02-17T00:00:00"/>
    <x v="0"/>
    <x v="90"/>
    <n v="700"/>
    <n v="650"/>
    <n v="50"/>
    <n v="92.857142857142861"/>
    <n v="9.9"/>
    <n v="6"/>
    <x v="1"/>
  </r>
  <r>
    <d v="2026-02-22T00:00:00"/>
    <x v="0"/>
    <x v="91"/>
    <n v="700"/>
    <n v="650"/>
    <n v="50"/>
    <n v="92.857142857142861"/>
    <n v="13.5"/>
    <n v="7"/>
    <x v="1"/>
  </r>
  <r>
    <d v="2026-01-01T00:00:00"/>
    <x v="1"/>
    <x v="92"/>
    <n v="700"/>
    <n v="650"/>
    <n v="50"/>
    <n v="92.857142857142861"/>
    <n v="7.7"/>
    <n v="4"/>
    <x v="1"/>
  </r>
  <r>
    <d v="2026-02-17T00:00:00"/>
    <x v="0"/>
    <x v="93"/>
    <n v="700"/>
    <n v="700"/>
    <n v="0"/>
    <n v="100"/>
    <n v="11.2"/>
    <n v="7"/>
    <x v="1"/>
  </r>
  <r>
    <d v="2026-02-18T00:00:00"/>
    <x v="0"/>
    <x v="14"/>
    <n v="700"/>
    <n v="700"/>
    <n v="0"/>
    <n v="100"/>
    <n v="11.3"/>
    <n v="7"/>
    <x v="1"/>
  </r>
  <r>
    <d v="2026-02-19T00:00:00"/>
    <x v="0"/>
    <x v="94"/>
    <n v="700"/>
    <n v="700"/>
    <n v="0"/>
    <n v="100"/>
    <n v="10.3"/>
    <n v="6"/>
    <x v="1"/>
  </r>
  <r>
    <d v="2026-02-20T00:00:00"/>
    <x v="0"/>
    <x v="93"/>
    <n v="700"/>
    <n v="700"/>
    <n v="0"/>
    <n v="100"/>
    <n v="10.1"/>
    <n v="6"/>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2-01T00:00:00"/>
    <x v="0"/>
    <x v="0"/>
    <n v="700"/>
    <n v="8"/>
    <n v="692"/>
    <n v="1.1428571428571428"/>
    <n v="3.1"/>
  </r>
  <r>
    <d v="2026-01-31T00:00:00"/>
    <x v="1"/>
    <x v="1"/>
    <n v="700"/>
    <n v="18"/>
    <n v="682"/>
    <n v="2.5714285714285712"/>
    <n v="0"/>
  </r>
  <r>
    <d v="2026-02-16T00:00:00"/>
    <x v="0"/>
    <x v="2"/>
    <n v="700"/>
    <n v="34"/>
    <n v="666"/>
    <n v="4.8571428571428568"/>
    <n v="14.7"/>
  </r>
  <r>
    <d v="2026-01-01T00:00:00"/>
    <x v="1"/>
    <x v="3"/>
    <n v="700"/>
    <n v="34"/>
    <n v="666"/>
    <n v="4.8571428571428568"/>
    <n v="7.7"/>
  </r>
  <r>
    <d v="2026-03-28T00:00:00"/>
    <x v="2"/>
    <x v="4"/>
    <n v="700"/>
    <n v="34"/>
    <n v="666"/>
    <n v="4.8571428571428568"/>
    <n v="0"/>
  </r>
  <r>
    <d v="2026-02-18T00:00:00"/>
    <x v="0"/>
    <x v="5"/>
    <n v="700"/>
    <n v="34"/>
    <n v="666"/>
    <n v="4.8571428571428568"/>
    <n v="1.7"/>
  </r>
  <r>
    <d v="2026-02-20T00:00:00"/>
    <x v="0"/>
    <x v="6"/>
    <n v="700"/>
    <n v="45"/>
    <n v="655"/>
    <n v="6.4285714285714279"/>
    <n v="0"/>
  </r>
  <r>
    <d v="2026-02-11T00:00:00"/>
    <x v="0"/>
    <x v="7"/>
    <n v="700"/>
    <n v="57"/>
    <n v="643"/>
    <n v="8.1428571428571441"/>
    <n v="4.3"/>
  </r>
  <r>
    <d v="2026-02-19T00:00:00"/>
    <x v="0"/>
    <x v="8"/>
    <n v="700"/>
    <n v="69"/>
    <n v="631"/>
    <n v="9.8571428571428577"/>
    <n v="3.2"/>
  </r>
  <r>
    <d v="2026-02-22T00:00:00"/>
    <x v="0"/>
    <x v="9"/>
    <n v="700"/>
    <n v="75"/>
    <n v="625"/>
    <n v="10.714285714285714"/>
    <n v="4"/>
  </r>
  <r>
    <d v="2026-02-08T00:00:00"/>
    <x v="0"/>
    <x v="10"/>
    <n v="700"/>
    <n v="78"/>
    <n v="622"/>
    <n v="11.142857142857142"/>
    <n v="2"/>
  </r>
  <r>
    <d v="2026-02-12T00:00:00"/>
    <x v="0"/>
    <x v="11"/>
    <n v="700"/>
    <n v="93"/>
    <n v="607"/>
    <n v="13.285714285714286"/>
    <n v="1.5"/>
  </r>
  <r>
    <d v="2026-02-02T00:00:00"/>
    <x v="0"/>
    <x v="12"/>
    <n v="700"/>
    <n v="108"/>
    <n v="592"/>
    <n v="15.428571428571427"/>
    <n v="3.4"/>
  </r>
  <r>
    <d v="2026-02-15T00:00:00"/>
    <x v="0"/>
    <x v="13"/>
    <n v="700"/>
    <n v="128"/>
    <n v="572"/>
    <n v="18.285714285714285"/>
    <n v="12.1"/>
  </r>
  <r>
    <d v="2026-01-01T00:00:00"/>
    <x v="1"/>
    <x v="14"/>
    <n v="700"/>
    <n v="128"/>
    <n v="572"/>
    <n v="18.285714285714285"/>
    <n v="6.6"/>
  </r>
  <r>
    <d v="2026-03-27T00:00:00"/>
    <x v="2"/>
    <x v="15"/>
    <n v="700"/>
    <n v="128"/>
    <n v="572"/>
    <n v="18.285714285714285"/>
    <n v="2"/>
  </r>
  <r>
    <d v="2026-02-04T00:00:00"/>
    <x v="0"/>
    <x v="16"/>
    <n v="700"/>
    <n v="138"/>
    <n v="562"/>
    <n v="19.714285714285715"/>
    <n v="1.6"/>
  </r>
  <r>
    <d v="2026-02-13T00:00:00"/>
    <x v="0"/>
    <x v="17"/>
    <n v="700"/>
    <n v="141"/>
    <n v="559"/>
    <n v="20.142857142857142"/>
    <n v="11.1"/>
  </r>
  <r>
    <d v="2026-01-01T00:00:00"/>
    <x v="1"/>
    <x v="18"/>
    <n v="700"/>
    <n v="141"/>
    <n v="559"/>
    <n v="20.142857142857142"/>
    <n v="15.5"/>
  </r>
  <r>
    <d v="2026-03-25T00:00:00"/>
    <x v="2"/>
    <x v="19"/>
    <n v="700"/>
    <n v="141"/>
    <n v="559"/>
    <n v="20.142857142857142"/>
    <n v="1.9"/>
  </r>
  <r>
    <d v="2026-02-13T00:00:00"/>
    <x v="0"/>
    <x v="20"/>
    <n v="700"/>
    <n v="144"/>
    <n v="556"/>
    <n v="20.571428571428569"/>
    <n v="4.0999999999999996"/>
  </r>
  <r>
    <d v="2026-01-30T00:00:00"/>
    <x v="1"/>
    <x v="21"/>
    <n v="700"/>
    <n v="155"/>
    <n v="545"/>
    <n v="22.142857142857142"/>
    <n v="1.5"/>
  </r>
  <r>
    <d v="2026-02-12T00:00:00"/>
    <x v="0"/>
    <x v="22"/>
    <n v="700"/>
    <n v="174"/>
    <n v="526"/>
    <n v="24.857142857142858"/>
    <n v="9.5"/>
  </r>
  <r>
    <d v="2026-01-01T00:00:00"/>
    <x v="1"/>
    <x v="23"/>
    <n v="700"/>
    <n v="174"/>
    <n v="526"/>
    <n v="24.857142857142858"/>
    <n v="11.3"/>
  </r>
  <r>
    <d v="2026-03-24T00:00:00"/>
    <x v="2"/>
    <x v="24"/>
    <n v="700"/>
    <n v="174"/>
    <n v="526"/>
    <n v="24.857142857142858"/>
    <n v="1.8"/>
  </r>
  <r>
    <d v="2026-02-06T00:00:00"/>
    <x v="0"/>
    <x v="25"/>
    <n v="700"/>
    <n v="178"/>
    <n v="522"/>
    <n v="25.428571428571427"/>
    <n v="1.9"/>
  </r>
  <r>
    <d v="2026-02-09T00:00:00"/>
    <x v="0"/>
    <x v="26"/>
    <n v="700"/>
    <n v="196"/>
    <n v="504"/>
    <n v="28.000000000000004"/>
    <n v="2.1"/>
  </r>
  <r>
    <d v="2026-02-07T00:00:00"/>
    <x v="0"/>
    <x v="27"/>
    <n v="700"/>
    <n v="232"/>
    <n v="468"/>
    <n v="33.142857142857139"/>
    <n v="0"/>
  </r>
  <r>
    <d v="2026-02-14T00:00:00"/>
    <x v="0"/>
    <x v="28"/>
    <n v="700"/>
    <n v="236"/>
    <n v="464"/>
    <n v="33.714285714285715"/>
    <n v="2"/>
  </r>
  <r>
    <d v="2026-02-16T00:00:00"/>
    <x v="0"/>
    <x v="29"/>
    <n v="700"/>
    <n v="241"/>
    <n v="459"/>
    <n v="34.428571428571431"/>
    <n v="2.1"/>
  </r>
  <r>
    <d v="2026-02-15T00:00:00"/>
    <x v="0"/>
    <x v="30"/>
    <n v="700"/>
    <n v="244"/>
    <n v="456"/>
    <n v="34.857142857142861"/>
    <n v="0"/>
  </r>
  <r>
    <d v="2026-02-21T00:00:00"/>
    <x v="0"/>
    <x v="31"/>
    <n v="700"/>
    <n v="261"/>
    <n v="439"/>
    <n v="37.285714285714285"/>
    <n v="2"/>
  </r>
  <r>
    <d v="2026-02-10T00:00:00"/>
    <x v="0"/>
    <x v="32"/>
    <n v="700"/>
    <n v="265"/>
    <n v="435"/>
    <n v="37.857142857142854"/>
    <n v="4.0999999999999996"/>
  </r>
  <r>
    <d v="2026-02-03T00:00:00"/>
    <x v="0"/>
    <x v="33"/>
    <n v="700"/>
    <n v="267"/>
    <n v="433"/>
    <n v="38.142857142857146"/>
    <n v="2.1"/>
  </r>
  <r>
    <d v="2026-02-05T00:00:00"/>
    <x v="0"/>
    <x v="34"/>
    <n v="700"/>
    <n v="267"/>
    <n v="433"/>
    <n v="38.142857142857146"/>
    <n v="4.5"/>
  </r>
  <r>
    <d v="2026-03-29T00:00:00"/>
    <x v="2"/>
    <x v="35"/>
    <n v="700"/>
    <n v="268"/>
    <n v="432"/>
    <n v="38.285714285714285"/>
    <n v="4.2"/>
  </r>
  <r>
    <d v="2026-02-14T00:00:00"/>
    <x v="0"/>
    <x v="36"/>
    <n v="700"/>
    <n v="276"/>
    <n v="424"/>
    <n v="39.428571428571431"/>
    <n v="10.8"/>
  </r>
  <r>
    <d v="2026-01-01T00:00:00"/>
    <x v="1"/>
    <x v="37"/>
    <n v="700"/>
    <n v="276"/>
    <n v="424"/>
    <n v="39.428571428571431"/>
    <n v="15.3"/>
  </r>
  <r>
    <d v="2026-03-26T00:00:00"/>
    <x v="2"/>
    <x v="38"/>
    <n v="700"/>
    <n v="276"/>
    <n v="424"/>
    <n v="39.428571428571431"/>
    <n v="2.2999999999999998"/>
  </r>
  <r>
    <d v="2026-02-17T00:00:00"/>
    <x v="0"/>
    <x v="39"/>
    <n v="700"/>
    <n v="281"/>
    <n v="419"/>
    <n v="40.142857142857139"/>
    <n v="0"/>
  </r>
  <r>
    <d v="2026-03-21T00:00:00"/>
    <x v="2"/>
    <x v="40"/>
    <n v="700"/>
    <n v="421"/>
    <n v="279"/>
    <n v="60.142857142857139"/>
    <n v="10.7"/>
  </r>
  <r>
    <d v="2026-01-01T00:00:00"/>
    <x v="1"/>
    <x v="41"/>
    <n v="700"/>
    <n v="423"/>
    <n v="277"/>
    <n v="60.428571428571431"/>
    <n v="6.2"/>
  </r>
  <r>
    <d v="2026-02-10T00:00:00"/>
    <x v="0"/>
    <x v="42"/>
    <n v="700"/>
    <n v="424"/>
    <n v="276"/>
    <n v="60.571428571428577"/>
    <n v="14.3"/>
  </r>
  <r>
    <d v="2026-01-01T00:00:00"/>
    <x v="1"/>
    <x v="43"/>
    <n v="700"/>
    <n v="424"/>
    <n v="276"/>
    <n v="60.571428571428577"/>
    <n v="13.3"/>
  </r>
  <r>
    <d v="2026-03-16T00:00:00"/>
    <x v="2"/>
    <x v="44"/>
    <n v="700"/>
    <n v="424"/>
    <n v="276"/>
    <n v="60.571428571428577"/>
    <n v="5.6"/>
  </r>
  <r>
    <d v="2026-03-06T00:00:00"/>
    <x v="2"/>
    <x v="45"/>
    <n v="700"/>
    <n v="437"/>
    <n v="263"/>
    <n v="62.428571428571431"/>
    <n v="4.5"/>
  </r>
  <r>
    <d v="2026-02-11T00:00:00"/>
    <x v="0"/>
    <x v="46"/>
    <n v="700"/>
    <n v="439"/>
    <n v="261"/>
    <n v="62.714285714285708"/>
    <n v="11.8"/>
  </r>
  <r>
    <d v="2026-01-01T00:00:00"/>
    <x v="1"/>
    <x v="47"/>
    <n v="700"/>
    <n v="439"/>
    <n v="261"/>
    <n v="62.714285714285708"/>
    <n v="12.3"/>
  </r>
  <r>
    <d v="2026-03-23T00:00:00"/>
    <x v="2"/>
    <x v="48"/>
    <n v="700"/>
    <n v="439"/>
    <n v="261"/>
    <n v="62.714285714285708"/>
    <n v="9.4"/>
  </r>
  <r>
    <d v="2026-03-09T00:00:00"/>
    <x v="2"/>
    <x v="49"/>
    <n v="700"/>
    <n v="446"/>
    <n v="254"/>
    <n v="63.714285714285715"/>
    <n v="5.2"/>
  </r>
  <r>
    <d v="2026-03-19T00:00:00"/>
    <x v="2"/>
    <x v="50"/>
    <n v="700"/>
    <n v="448"/>
    <n v="252"/>
    <n v="64"/>
    <n v="6.3"/>
  </r>
  <r>
    <d v="2026-03-20T00:00:00"/>
    <x v="2"/>
    <x v="51"/>
    <n v="700"/>
    <n v="448"/>
    <n v="252"/>
    <n v="64"/>
    <n v="8.1"/>
  </r>
  <r>
    <d v="2026-02-02T00:00:00"/>
    <x v="0"/>
    <x v="52"/>
    <n v="700"/>
    <n v="487"/>
    <n v="213"/>
    <n v="69.571428571428569"/>
    <n v="13"/>
  </r>
  <r>
    <d v="2026-02-25T00:00:00"/>
    <x v="0"/>
    <x v="53"/>
    <n v="700"/>
    <n v="487"/>
    <n v="213"/>
    <n v="69.571428571428569"/>
    <n v="15.9"/>
  </r>
  <r>
    <d v="2026-03-03T00:00:00"/>
    <x v="2"/>
    <x v="54"/>
    <n v="700"/>
    <n v="487"/>
    <n v="213"/>
    <n v="69.571428571428569"/>
    <n v="11"/>
  </r>
  <r>
    <d v="2026-02-16T00:00:00"/>
    <x v="0"/>
    <x v="55"/>
    <n v="700"/>
    <n v="492"/>
    <n v="208"/>
    <n v="70.285714285714278"/>
    <n v="13.4"/>
  </r>
  <r>
    <d v="2026-02-21T00:00:00"/>
    <x v="0"/>
    <x v="56"/>
    <n v="700"/>
    <n v="492"/>
    <n v="208"/>
    <n v="70.285714285714278"/>
    <n v="14.4"/>
  </r>
  <r>
    <d v="2026-01-01T00:00:00"/>
    <x v="1"/>
    <x v="57"/>
    <n v="700"/>
    <n v="492"/>
    <n v="208"/>
    <n v="70.285714285714278"/>
    <n v="5.9"/>
  </r>
  <r>
    <d v="2026-02-09T00:00:00"/>
    <x v="0"/>
    <x v="58"/>
    <n v="700"/>
    <n v="501"/>
    <n v="199"/>
    <n v="71.571428571428569"/>
    <n v="14.7"/>
  </r>
  <r>
    <d v="2026-01-01T00:00:00"/>
    <x v="1"/>
    <x v="59"/>
    <n v="700"/>
    <n v="501"/>
    <n v="199"/>
    <n v="71.571428571428569"/>
    <n v="14.8"/>
  </r>
  <r>
    <d v="2026-03-15T00:00:00"/>
    <x v="2"/>
    <x v="60"/>
    <n v="700"/>
    <n v="501"/>
    <n v="199"/>
    <n v="71.571428571428569"/>
    <n v="6.7"/>
  </r>
  <r>
    <d v="2026-01-01T00:00:00"/>
    <x v="1"/>
    <x v="61"/>
    <n v="700"/>
    <n v="533"/>
    <n v="167"/>
    <n v="76.142857142857139"/>
    <n v="6.2"/>
  </r>
  <r>
    <d v="2026-01-01T00:00:00"/>
    <x v="1"/>
    <x v="62"/>
    <n v="700"/>
    <n v="535"/>
    <n v="165"/>
    <n v="76.428571428571416"/>
    <n v="9.1"/>
  </r>
  <r>
    <d v="2026-03-08T00:00:00"/>
    <x v="2"/>
    <x v="63"/>
    <n v="700"/>
    <n v="541"/>
    <n v="159"/>
    <n v="77.285714285714292"/>
    <n v="4.9000000000000004"/>
  </r>
  <r>
    <d v="2026-03-07T00:00:00"/>
    <x v="2"/>
    <x v="64"/>
    <n v="700"/>
    <n v="548"/>
    <n v="152"/>
    <n v="78.285714285714278"/>
    <n v="6.7"/>
  </r>
  <r>
    <d v="2026-02-06T00:00:00"/>
    <x v="0"/>
    <x v="65"/>
    <n v="700"/>
    <n v="550"/>
    <n v="150"/>
    <n v="78.571428571428569"/>
    <n v="13.1"/>
  </r>
  <r>
    <d v="2026-01-01T00:00:00"/>
    <x v="1"/>
    <x v="66"/>
    <n v="700"/>
    <n v="550"/>
    <n v="150"/>
    <n v="78.571428571428569"/>
    <n v="9.5"/>
  </r>
  <r>
    <d v="2026-03-12T00:00:00"/>
    <x v="2"/>
    <x v="67"/>
    <n v="700"/>
    <n v="550"/>
    <n v="150"/>
    <n v="78.571428571428569"/>
    <n v="4.5999999999999996"/>
  </r>
  <r>
    <d v="2026-02-18T00:00:00"/>
    <x v="0"/>
    <x v="68"/>
    <n v="700"/>
    <n v="558"/>
    <n v="142"/>
    <n v="79.714285714285722"/>
    <n v="10.7"/>
  </r>
  <r>
    <d v="2026-02-23T00:00:00"/>
    <x v="0"/>
    <x v="69"/>
    <n v="700"/>
    <n v="558"/>
    <n v="142"/>
    <n v="79.714285714285722"/>
    <n v="13"/>
  </r>
  <r>
    <d v="2026-03-01T00:00:00"/>
    <x v="2"/>
    <x v="70"/>
    <n v="700"/>
    <n v="558"/>
    <n v="142"/>
    <n v="79.714285714285722"/>
    <n v="5.3"/>
  </r>
  <r>
    <d v="2026-03-17T00:00:00"/>
    <x v="2"/>
    <x v="3"/>
    <n v="700"/>
    <n v="558"/>
    <n v="142"/>
    <n v="79.714285714285722"/>
    <n v="8.9"/>
  </r>
  <r>
    <d v="2026-02-05T00:00:00"/>
    <x v="0"/>
    <x v="71"/>
    <n v="700"/>
    <n v="559"/>
    <n v="141"/>
    <n v="79.857142857142861"/>
    <n v="15.7"/>
  </r>
  <r>
    <d v="2026-02-28T00:00:00"/>
    <x v="0"/>
    <x v="72"/>
    <n v="700"/>
    <n v="559"/>
    <n v="141"/>
    <n v="79.857142857142861"/>
    <n v="11.9"/>
  </r>
  <r>
    <d v="2026-03-11T00:00:00"/>
    <x v="2"/>
    <x v="73"/>
    <n v="700"/>
    <n v="559"/>
    <n v="141"/>
    <n v="79.857142857142861"/>
    <n v="7.2"/>
  </r>
  <r>
    <d v="2026-03-22T00:00:00"/>
    <x v="2"/>
    <x v="74"/>
    <n v="700"/>
    <n v="564"/>
    <n v="136"/>
    <n v="80.571428571428569"/>
    <n v="5.5"/>
  </r>
  <r>
    <d v="2026-02-08T00:00:00"/>
    <x v="0"/>
    <x v="75"/>
    <n v="700"/>
    <n v="565"/>
    <n v="135"/>
    <n v="80.714285714285722"/>
    <n v="11.3"/>
  </r>
  <r>
    <d v="2026-01-01T00:00:00"/>
    <x v="1"/>
    <x v="76"/>
    <n v="700"/>
    <n v="565"/>
    <n v="135"/>
    <n v="80.714285714285722"/>
    <n v="10.3"/>
  </r>
  <r>
    <d v="2026-03-14T00:00:00"/>
    <x v="2"/>
    <x v="67"/>
    <n v="700"/>
    <n v="565"/>
    <n v="135"/>
    <n v="80.714285714285722"/>
    <n v="8.6999999999999993"/>
  </r>
  <r>
    <d v="2026-03-18T00:00:00"/>
    <x v="2"/>
    <x v="77"/>
    <n v="700"/>
    <n v="593"/>
    <n v="107"/>
    <n v="84.714285714285722"/>
    <n v="10"/>
  </r>
  <r>
    <d v="2026-02-19T00:00:00"/>
    <x v="0"/>
    <x v="78"/>
    <n v="700"/>
    <n v="609"/>
    <n v="91"/>
    <n v="87"/>
    <n v="9"/>
  </r>
  <r>
    <d v="2026-02-03T00:00:00"/>
    <x v="0"/>
    <x v="79"/>
    <n v="700"/>
    <n v="609"/>
    <n v="91"/>
    <n v="87"/>
    <n v="13.8"/>
  </r>
  <r>
    <d v="2026-02-24T00:00:00"/>
    <x v="0"/>
    <x v="80"/>
    <n v="700"/>
    <n v="609"/>
    <n v="91"/>
    <n v="87"/>
    <n v="10.1"/>
  </r>
  <r>
    <d v="2026-02-26T00:00:00"/>
    <x v="0"/>
    <x v="81"/>
    <n v="700"/>
    <n v="609"/>
    <n v="91"/>
    <n v="87"/>
    <n v="13.3"/>
  </r>
  <r>
    <d v="2026-03-02T00:00:00"/>
    <x v="2"/>
    <x v="82"/>
    <n v="700"/>
    <n v="609"/>
    <n v="91"/>
    <n v="87"/>
    <n v="8.6"/>
  </r>
  <r>
    <d v="2026-03-04T00:00:00"/>
    <x v="2"/>
    <x v="83"/>
    <n v="700"/>
    <n v="609"/>
    <n v="91"/>
    <n v="87"/>
    <n v="8.6"/>
  </r>
  <r>
    <d v="2026-03-10T00:00:00"/>
    <x v="2"/>
    <x v="84"/>
    <n v="700"/>
    <n v="612"/>
    <n v="88"/>
    <n v="87.428571428571431"/>
    <n v="8"/>
  </r>
  <r>
    <d v="2026-02-04T00:00:00"/>
    <x v="0"/>
    <x v="85"/>
    <n v="700"/>
    <n v="647"/>
    <n v="53"/>
    <n v="92.428571428571431"/>
    <n v="15.8"/>
  </r>
  <r>
    <d v="2026-02-27T00:00:00"/>
    <x v="0"/>
    <x v="86"/>
    <n v="700"/>
    <n v="647"/>
    <n v="53"/>
    <n v="92.428571428571431"/>
    <n v="15"/>
  </r>
  <r>
    <d v="2026-03-05T00:00:00"/>
    <x v="2"/>
    <x v="87"/>
    <n v="700"/>
    <n v="647"/>
    <n v="53"/>
    <n v="92.428571428571431"/>
    <n v="5.8"/>
  </r>
  <r>
    <d v="2026-02-07T00:00:00"/>
    <x v="0"/>
    <x v="76"/>
    <n v="700"/>
    <n v="649"/>
    <n v="51"/>
    <n v="92.714285714285722"/>
    <n v="13"/>
  </r>
  <r>
    <d v="2026-01-01T00:00:00"/>
    <x v="1"/>
    <x v="88"/>
    <n v="700"/>
    <n v="649"/>
    <n v="51"/>
    <n v="92.714285714285722"/>
    <n v="9.6999999999999993"/>
  </r>
  <r>
    <d v="2026-03-13T00:00:00"/>
    <x v="2"/>
    <x v="89"/>
    <n v="700"/>
    <n v="649"/>
    <n v="51"/>
    <n v="92.714285714285722"/>
    <n v="8.6"/>
  </r>
  <r>
    <d v="2026-02-17T00:00:00"/>
    <x v="0"/>
    <x v="90"/>
    <n v="700"/>
    <n v="650"/>
    <n v="50"/>
    <n v="92.857142857142861"/>
    <n v="9.9"/>
  </r>
  <r>
    <d v="2026-02-22T00:00:00"/>
    <x v="0"/>
    <x v="91"/>
    <n v="700"/>
    <n v="650"/>
    <n v="50"/>
    <n v="92.857142857142861"/>
    <n v="13.5"/>
  </r>
  <r>
    <d v="2026-01-01T00:00:00"/>
    <x v="1"/>
    <x v="92"/>
    <n v="700"/>
    <n v="650"/>
    <n v="50"/>
    <n v="92.857142857142861"/>
    <n v="7.7"/>
  </r>
  <r>
    <d v="2026-02-17T00:00:00"/>
    <x v="0"/>
    <x v="93"/>
    <n v="700"/>
    <n v="700"/>
    <n v="0"/>
    <n v="100"/>
    <n v="11.2"/>
  </r>
  <r>
    <d v="2026-02-18T00:00:00"/>
    <x v="0"/>
    <x v="14"/>
    <n v="700"/>
    <n v="700"/>
    <n v="0"/>
    <n v="100"/>
    <n v="11.3"/>
  </r>
  <r>
    <d v="2026-02-19T00:00:00"/>
    <x v="0"/>
    <x v="94"/>
    <n v="700"/>
    <n v="700"/>
    <n v="0"/>
    <n v="100"/>
    <n v="10.3"/>
  </r>
  <r>
    <d v="2026-02-20T00:00:00"/>
    <x v="0"/>
    <x v="93"/>
    <n v="700"/>
    <n v="700"/>
    <n v="0"/>
    <n v="100"/>
    <n v="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23BCA2-6A4B-4CC6-A2FD-3A2B41F9C17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s">
  <location ref="E38:F42" firstHeaderRow="1" firstDataRow="1" firstDataCol="1"/>
  <pivotFields count="8">
    <pivotField numFmtId="164" showAll="0"/>
    <pivotField axis="axisRow" showAll="0">
      <items count="4">
        <item x="1"/>
        <item x="0"/>
        <item x="2"/>
        <item t="default"/>
      </items>
    </pivotField>
    <pivotField dataField="1" showAll="0">
      <items count="96">
        <item x="7"/>
        <item x="51"/>
        <item x="21"/>
        <item x="39"/>
        <item x="45"/>
        <item x="86"/>
        <item x="47"/>
        <item x="58"/>
        <item x="82"/>
        <item x="27"/>
        <item x="60"/>
        <item x="11"/>
        <item x="71"/>
        <item x="36"/>
        <item x="1"/>
        <item x="17"/>
        <item x="93"/>
        <item x="37"/>
        <item x="34"/>
        <item x="77"/>
        <item x="40"/>
        <item x="88"/>
        <item x="26"/>
        <item x="80"/>
        <item x="73"/>
        <item x="16"/>
        <item x="94"/>
        <item x="75"/>
        <item x="89"/>
        <item x="56"/>
        <item x="92"/>
        <item x="10"/>
        <item x="9"/>
        <item x="62"/>
        <item x="12"/>
        <item x="28"/>
        <item x="0"/>
        <item x="53"/>
        <item x="8"/>
        <item x="44"/>
        <item x="29"/>
        <item x="78"/>
        <item x="65"/>
        <item x="35"/>
        <item x="49"/>
        <item x="41"/>
        <item x="76"/>
        <item x="66"/>
        <item x="83"/>
        <item x="70"/>
        <item x="15"/>
        <item x="90"/>
        <item x="25"/>
        <item x="3"/>
        <item x="19"/>
        <item x="6"/>
        <item x="64"/>
        <item x="43"/>
        <item x="61"/>
        <item x="91"/>
        <item x="42"/>
        <item x="23"/>
        <item x="38"/>
        <item x="72"/>
        <item x="31"/>
        <item x="68"/>
        <item x="57"/>
        <item x="50"/>
        <item x="59"/>
        <item x="85"/>
        <item x="22"/>
        <item x="74"/>
        <item x="63"/>
        <item x="33"/>
        <item x="54"/>
        <item x="48"/>
        <item x="4"/>
        <item x="14"/>
        <item x="13"/>
        <item x="79"/>
        <item x="24"/>
        <item x="46"/>
        <item x="30"/>
        <item x="18"/>
        <item x="5"/>
        <item x="55"/>
        <item x="67"/>
        <item x="84"/>
        <item x="20"/>
        <item x="81"/>
        <item x="2"/>
        <item x="32"/>
        <item x="69"/>
        <item x="52"/>
        <item x="87"/>
        <item t="default"/>
      </items>
    </pivotField>
    <pivotField showAll="0"/>
    <pivotField showAll="0"/>
    <pivotField showAll="0"/>
    <pivotField numFmtId="2" showAll="0"/>
    <pivotField showAll="0"/>
  </pivotFields>
  <rowFields count="1">
    <field x="1"/>
  </rowFields>
  <rowItems count="4">
    <i>
      <x/>
    </i>
    <i>
      <x v="1"/>
    </i>
    <i>
      <x v="2"/>
    </i>
    <i t="grand">
      <x/>
    </i>
  </rowItems>
  <colItems count="1">
    <i/>
  </colItems>
  <dataFields count="1">
    <dataField name="Count of Customer Name" fld="2" subtotal="count" baseField="0" baseItem="0"/>
  </dataFields>
  <chartFormats count="5">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04E014-AE81-4A0F-B381-6653EC3E173D}"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26:C121" firstHeaderRow="0" firstDataRow="1" firstDataCol="1"/>
  <pivotFields count="10">
    <pivotField numFmtId="164" showAll="0"/>
    <pivotField showAll="0"/>
    <pivotField axis="axisRow" showAll="0" sortType="descending">
      <items count="96">
        <item x="7"/>
        <item x="51"/>
        <item x="21"/>
        <item x="39"/>
        <item x="45"/>
        <item x="86"/>
        <item x="47"/>
        <item x="58"/>
        <item x="82"/>
        <item x="27"/>
        <item x="60"/>
        <item x="11"/>
        <item x="71"/>
        <item x="36"/>
        <item x="1"/>
        <item x="17"/>
        <item x="93"/>
        <item x="37"/>
        <item x="34"/>
        <item x="77"/>
        <item x="40"/>
        <item x="88"/>
        <item x="26"/>
        <item x="80"/>
        <item x="73"/>
        <item x="16"/>
        <item x="94"/>
        <item x="75"/>
        <item x="89"/>
        <item x="56"/>
        <item x="92"/>
        <item x="10"/>
        <item x="9"/>
        <item x="62"/>
        <item x="12"/>
        <item x="28"/>
        <item x="0"/>
        <item x="53"/>
        <item x="8"/>
        <item x="44"/>
        <item x="29"/>
        <item x="78"/>
        <item x="65"/>
        <item x="35"/>
        <item x="49"/>
        <item x="41"/>
        <item x="76"/>
        <item x="66"/>
        <item x="83"/>
        <item x="70"/>
        <item x="15"/>
        <item x="90"/>
        <item x="25"/>
        <item x="3"/>
        <item x="19"/>
        <item x="6"/>
        <item x="64"/>
        <item x="43"/>
        <item x="61"/>
        <item x="91"/>
        <item x="42"/>
        <item x="23"/>
        <item x="38"/>
        <item x="72"/>
        <item x="31"/>
        <item x="68"/>
        <item x="57"/>
        <item x="50"/>
        <item x="59"/>
        <item x="85"/>
        <item x="22"/>
        <item x="74"/>
        <item x="63"/>
        <item x="33"/>
        <item x="54"/>
        <item x="48"/>
        <item x="4"/>
        <item x="14"/>
        <item x="13"/>
        <item x="79"/>
        <item x="24"/>
        <item x="46"/>
        <item x="30"/>
        <item x="18"/>
        <item x="5"/>
        <item x="55"/>
        <item x="67"/>
        <item x="84"/>
        <item x="20"/>
        <item x="81"/>
        <item x="2"/>
        <item x="32"/>
        <item x="69"/>
        <item x="52"/>
        <item x="87"/>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numFmtId="2" showAll="0"/>
    <pivotField showAll="0"/>
    <pivotField showAll="0"/>
    <pivotField showAll="0"/>
  </pivotFields>
  <rowFields count="1">
    <field x="2"/>
  </rowFields>
  <rowItems count="95">
    <i>
      <x v="16"/>
    </i>
    <i>
      <x v="46"/>
    </i>
    <i>
      <x v="86"/>
    </i>
    <i>
      <x v="77"/>
    </i>
    <i>
      <x v="26"/>
    </i>
    <i>
      <x v="51"/>
    </i>
    <i>
      <x v="59"/>
    </i>
    <i>
      <x v="30"/>
    </i>
    <i>
      <x v="21"/>
    </i>
    <i>
      <x v="28"/>
    </i>
    <i>
      <x v="5"/>
    </i>
    <i>
      <x v="69"/>
    </i>
    <i>
      <x v="94"/>
    </i>
    <i>
      <x v="87"/>
    </i>
    <i>
      <x v="79"/>
    </i>
    <i>
      <x v="23"/>
    </i>
    <i>
      <x v="89"/>
    </i>
    <i>
      <x v="41"/>
    </i>
    <i>
      <x v="8"/>
    </i>
    <i>
      <x v="48"/>
    </i>
    <i>
      <x v="19"/>
    </i>
    <i>
      <x v="53"/>
    </i>
    <i>
      <x v="27"/>
    </i>
    <i>
      <x v="71"/>
    </i>
    <i>
      <x v="12"/>
    </i>
    <i>
      <x v="24"/>
    </i>
    <i>
      <x v="63"/>
    </i>
    <i>
      <x v="92"/>
    </i>
    <i>
      <x v="65"/>
    </i>
    <i>
      <x v="49"/>
    </i>
    <i>
      <x v="42"/>
    </i>
    <i>
      <x v="47"/>
    </i>
    <i>
      <x v="56"/>
    </i>
    <i>
      <x v="72"/>
    </i>
    <i>
      <x v="33"/>
    </i>
    <i>
      <x v="58"/>
    </i>
    <i>
      <x v="10"/>
    </i>
    <i>
      <x v="7"/>
    </i>
    <i>
      <x v="68"/>
    </i>
    <i>
      <x v="85"/>
    </i>
    <i>
      <x v="29"/>
    </i>
    <i>
      <x v="66"/>
    </i>
    <i>
      <x v="93"/>
    </i>
    <i>
      <x v="37"/>
    </i>
    <i>
      <x v="74"/>
    </i>
    <i>
      <x v="1"/>
    </i>
    <i>
      <x v="67"/>
    </i>
    <i>
      <x v="44"/>
    </i>
    <i>
      <x v="81"/>
    </i>
    <i>
      <x v="75"/>
    </i>
    <i>
      <x v="6"/>
    </i>
    <i>
      <x v="4"/>
    </i>
    <i>
      <x v="39"/>
    </i>
    <i>
      <x v="60"/>
    </i>
    <i>
      <x v="57"/>
    </i>
    <i>
      <x v="45"/>
    </i>
    <i>
      <x v="20"/>
    </i>
    <i>
      <x v="3"/>
    </i>
    <i>
      <x v="13"/>
    </i>
    <i>
      <x v="17"/>
    </i>
    <i>
      <x v="62"/>
    </i>
    <i>
      <x v="43"/>
    </i>
    <i>
      <x v="18"/>
    </i>
    <i>
      <x v="73"/>
    </i>
    <i>
      <x v="91"/>
    </i>
    <i>
      <x v="64"/>
    </i>
    <i>
      <x v="82"/>
    </i>
    <i>
      <x v="40"/>
    </i>
    <i>
      <x v="35"/>
    </i>
    <i>
      <x v="9"/>
    </i>
    <i>
      <x v="22"/>
    </i>
    <i>
      <x v="52"/>
    </i>
    <i>
      <x v="61"/>
    </i>
    <i>
      <x v="80"/>
    </i>
    <i>
      <x v="70"/>
    </i>
    <i>
      <x v="2"/>
    </i>
    <i>
      <x v="88"/>
    </i>
    <i>
      <x v="83"/>
    </i>
    <i>
      <x v="54"/>
    </i>
    <i>
      <x v="15"/>
    </i>
    <i>
      <x v="25"/>
    </i>
    <i>
      <x v="50"/>
    </i>
    <i>
      <x v="78"/>
    </i>
    <i>
      <x v="34"/>
    </i>
    <i>
      <x v="11"/>
    </i>
    <i>
      <x v="31"/>
    </i>
    <i>
      <x v="32"/>
    </i>
    <i>
      <x v="38"/>
    </i>
    <i>
      <x/>
    </i>
    <i>
      <x v="55"/>
    </i>
    <i>
      <x v="76"/>
    </i>
    <i>
      <x v="90"/>
    </i>
    <i>
      <x v="84"/>
    </i>
    <i>
      <x v="14"/>
    </i>
    <i>
      <x v="36"/>
    </i>
  </rowItems>
  <colFields count="1">
    <field x="-2"/>
  </colFields>
  <colItems count="2">
    <i>
      <x/>
    </i>
    <i i="1">
      <x v="1"/>
    </i>
  </colItems>
  <dataFields count="2">
    <dataField name="Sum of Amount Paid (KES)" fld="4" baseField="0" baseItem="0"/>
    <dataField name="Sum of ARREA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074FF6-CF49-4A12-9011-0CDAE9F0CF1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D23" firstHeaderRow="0" firstDataRow="1" firstDataCol="1"/>
  <pivotFields count="10">
    <pivotField numFmtId="164" showAll="0"/>
    <pivotField axis="axisRow" showAll="0">
      <items count="4">
        <item x="1"/>
        <item x="0"/>
        <item x="2"/>
        <item t="default"/>
      </items>
    </pivotField>
    <pivotField showAll="0"/>
    <pivotField showAll="0"/>
    <pivotField showAll="0"/>
    <pivotField showAll="0"/>
    <pivotField dataField="1" numFmtId="2" showAll="0"/>
    <pivotField dataField="1" showAll="0"/>
    <pivotField dataField="1" showAll="0"/>
    <pivotField showAll="0"/>
  </pivotFields>
  <rowFields count="1">
    <field x="1"/>
  </rowFields>
  <rowItems count="4">
    <i>
      <x/>
    </i>
    <i>
      <x v="1"/>
    </i>
    <i>
      <x v="2"/>
    </i>
    <i t="grand">
      <x/>
    </i>
  </rowItems>
  <colFields count="1">
    <field x="-2"/>
  </colFields>
  <colItems count="3">
    <i>
      <x/>
    </i>
    <i i="1">
      <x v="1"/>
    </i>
    <i i="2">
      <x v="2"/>
    </i>
  </colItems>
  <dataFields count="3">
    <dataField name="Average of Rate of payment%" fld="6" subtotal="average" baseField="1" baseItem="0" numFmtId="2"/>
    <dataField name="Average of Total kWh Used (Weekly)" fld="7" subtotal="average" baseField="1" baseItem="0"/>
    <dataField name="Sum of Active Days" fld="8" baseField="1" baseItem="0"/>
  </dataFields>
  <formats count="3">
    <format dxfId="21">
      <pivotArea collapsedLevelsAreSubtotals="1" fieldPosition="0">
        <references count="2">
          <reference field="4294967294" count="1" selected="0">
            <x v="1"/>
          </reference>
          <reference field="1" count="1">
            <x v="1"/>
          </reference>
        </references>
      </pivotArea>
    </format>
    <format dxfId="20">
      <pivotArea collapsedLevelsAreSubtotals="1" fieldPosition="0">
        <references count="2">
          <reference field="4294967294" count="1" selected="0">
            <x v="1"/>
          </reference>
          <reference field="1" count="1">
            <x v="2"/>
          </reference>
        </references>
      </pivotArea>
    </format>
    <format dxfId="19">
      <pivotArea collapsedLevelsAreSubtotals="1" fieldPosition="0">
        <references count="2">
          <reference field="4294967294" count="1" selected="0">
            <x v="1"/>
          </reference>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E1AC0B-E011-4629-92CF-496E667829E0}" name="PivotTable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Months ">
  <location ref="A3:C7" firstHeaderRow="0" firstDataRow="1" firstDataCol="1"/>
  <pivotFields count="9">
    <pivotField showAll="0">
      <items count="62">
        <item x="3"/>
        <item x="18"/>
        <item x="1"/>
        <item x="0"/>
        <item x="12"/>
        <item x="26"/>
        <item x="15"/>
        <item x="27"/>
        <item x="20"/>
        <item x="22"/>
        <item x="10"/>
        <item x="21"/>
        <item x="25"/>
        <item x="7"/>
        <item x="11"/>
        <item x="16"/>
        <item x="23"/>
        <item x="13"/>
        <item x="2"/>
        <item x="30"/>
        <item x="5"/>
        <item x="8"/>
        <item x="6"/>
        <item x="24"/>
        <item x="9"/>
        <item x="44"/>
        <item x="52"/>
        <item x="38"/>
        <item x="53"/>
        <item x="57"/>
        <item x="47"/>
        <item x="45"/>
        <item x="54"/>
        <item x="39"/>
        <item x="55"/>
        <item x="58"/>
        <item x="33"/>
        <item x="42"/>
        <item x="41"/>
        <item x="35"/>
        <item x="56"/>
        <item x="48"/>
        <item x="43"/>
        <item x="59"/>
        <item x="50"/>
        <item x="40"/>
        <item x="32"/>
        <item x="46"/>
        <item x="51"/>
        <item x="36"/>
        <item x="37"/>
        <item x="31"/>
        <item x="49"/>
        <item x="34"/>
        <item x="19"/>
        <item x="17"/>
        <item x="29"/>
        <item x="14"/>
        <item x="4"/>
        <item x="28"/>
        <item x="60"/>
        <item t="default"/>
      </items>
    </pivotField>
    <pivotField axis="axisRow" showAll="0">
      <items count="5">
        <item x="1"/>
        <item x="0"/>
        <item x="2"/>
        <item x="3"/>
        <item t="default"/>
      </items>
    </pivotField>
    <pivotField showAll="0"/>
    <pivotField showAll="0"/>
    <pivotField showAll="0"/>
    <pivotField showAll="0"/>
    <pivotField dataField="1" showAll="0"/>
    <pivotField showAll="0"/>
    <pivotField dataField="1" showAll="0"/>
  </pivotFields>
  <rowFields count="1">
    <field x="1"/>
  </rowFields>
  <rowItems count="4">
    <i>
      <x/>
    </i>
    <i>
      <x v="1"/>
    </i>
    <i>
      <x v="2"/>
    </i>
    <i>
      <x v="3"/>
    </i>
  </rowItems>
  <colFields count="1">
    <field x="-2"/>
  </colFields>
  <colItems count="2">
    <i>
      <x/>
    </i>
    <i i="1">
      <x v="1"/>
    </i>
  </colItems>
  <dataFields count="2">
    <dataField name="Average of Active Days" fld="8" subtotal="average" baseField="1" baseItem="0"/>
    <dataField name="Average of Rate of payment%" fld="6" subtotal="average" baseField="1"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1" count="1" selected="0">
            <x v="0"/>
          </reference>
        </references>
      </pivotArea>
    </chartFormat>
    <chartFormat chart="3" format="8">
      <pivotArea type="data" outline="0" fieldPosition="0">
        <references count="2">
          <reference field="4294967294" count="1" selected="0">
            <x v="1"/>
          </reference>
          <reference field="1" count="1" selected="0">
            <x v="1"/>
          </reference>
        </references>
      </pivotArea>
    </chartFormat>
    <chartFormat chart="3" format="9">
      <pivotArea type="data" outline="0" fieldPosition="0">
        <references count="2">
          <reference field="4294967294" count="1" selected="0">
            <x v="1"/>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86F80F-7218-4B94-A811-C6E28F8C46FE}"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Months ">
  <location ref="A12:G16" firstHeaderRow="0" firstDataRow="1" firstDataCol="1"/>
  <pivotFields count="9">
    <pivotField showAll="0">
      <items count="62">
        <item x="3"/>
        <item x="18"/>
        <item x="1"/>
        <item x="0"/>
        <item x="12"/>
        <item x="26"/>
        <item x="15"/>
        <item x="27"/>
        <item x="20"/>
        <item x="22"/>
        <item x="10"/>
        <item x="21"/>
        <item x="25"/>
        <item x="7"/>
        <item x="11"/>
        <item x="16"/>
        <item x="23"/>
        <item x="13"/>
        <item x="2"/>
        <item x="30"/>
        <item x="5"/>
        <item x="8"/>
        <item x="6"/>
        <item x="24"/>
        <item x="9"/>
        <item x="44"/>
        <item x="52"/>
        <item x="38"/>
        <item x="53"/>
        <item x="57"/>
        <item x="47"/>
        <item x="45"/>
        <item x="54"/>
        <item x="39"/>
        <item x="55"/>
        <item x="58"/>
        <item x="33"/>
        <item x="42"/>
        <item x="41"/>
        <item x="35"/>
        <item x="56"/>
        <item x="48"/>
        <item x="43"/>
        <item x="59"/>
        <item x="50"/>
        <item x="40"/>
        <item x="32"/>
        <item x="46"/>
        <item x="51"/>
        <item x="36"/>
        <item x="37"/>
        <item x="31"/>
        <item x="49"/>
        <item x="34"/>
        <item x="19"/>
        <item x="17"/>
        <item x="29"/>
        <item x="14"/>
        <item x="4"/>
        <item x="28"/>
        <item x="60"/>
        <item t="default"/>
      </items>
    </pivotField>
    <pivotField axis="axisRow" showAll="0">
      <items count="5">
        <item h="1" x="1"/>
        <item x="0"/>
        <item x="2"/>
        <item x="3"/>
        <item t="default"/>
      </items>
    </pivotField>
    <pivotField showAll="0">
      <items count="97">
        <item h="1" x="7"/>
        <item h="1" x="51"/>
        <item h="1" x="21"/>
        <item h="1" x="39"/>
        <item h="1" x="45"/>
        <item h="1" x="86"/>
        <item h="1" x="47"/>
        <item h="1" x="58"/>
        <item h="1" x="82"/>
        <item h="1" x="27"/>
        <item h="1" x="60"/>
        <item h="1" x="11"/>
        <item h="1" x="71"/>
        <item h="1" x="36"/>
        <item h="1" x="1"/>
        <item h="1" x="17"/>
        <item h="1" x="93"/>
        <item h="1" x="37"/>
        <item h="1" x="34"/>
        <item h="1" x="77"/>
        <item h="1" x="40"/>
        <item x="88"/>
        <item h="1" x="26"/>
        <item h="1" x="80"/>
        <item h="1" x="73"/>
        <item h="1" x="16"/>
        <item h="1" x="94"/>
        <item h="1" x="75"/>
        <item h="1" x="89"/>
        <item h="1" x="56"/>
        <item h="1" x="92"/>
        <item h="1" x="10"/>
        <item h="1" x="9"/>
        <item h="1" x="62"/>
        <item h="1" x="12"/>
        <item h="1" x="28"/>
        <item h="1" x="0"/>
        <item h="1" x="53"/>
        <item h="1" x="8"/>
        <item h="1" x="44"/>
        <item h="1" x="29"/>
        <item h="1" x="78"/>
        <item h="1" x="65"/>
        <item h="1" x="35"/>
        <item h="1" x="49"/>
        <item h="1" x="41"/>
        <item h="1" x="76"/>
        <item h="1" x="66"/>
        <item h="1" x="83"/>
        <item h="1" x="70"/>
        <item h="1" x="15"/>
        <item h="1" x="90"/>
        <item h="1" x="25"/>
        <item h="1" x="3"/>
        <item h="1" x="19"/>
        <item h="1" x="6"/>
        <item h="1" x="64"/>
        <item h="1" x="43"/>
        <item h="1" x="61"/>
        <item h="1" x="91"/>
        <item h="1" x="42"/>
        <item h="1" x="23"/>
        <item h="1" x="38"/>
        <item h="1" x="72"/>
        <item h="1" x="31"/>
        <item h="1" x="68"/>
        <item h="1" x="57"/>
        <item h="1" x="50"/>
        <item h="1" x="59"/>
        <item h="1" x="85"/>
        <item h="1" x="22"/>
        <item h="1" x="74"/>
        <item h="1" x="63"/>
        <item h="1" x="33"/>
        <item h="1" x="54"/>
        <item h="1" x="48"/>
        <item h="1" x="4"/>
        <item h="1" x="14"/>
        <item h="1" x="13"/>
        <item h="1" x="79"/>
        <item h="1" x="24"/>
        <item h="1" x="46"/>
        <item h="1" x="30"/>
        <item h="1" x="18"/>
        <item h="1" x="5"/>
        <item h="1" x="55"/>
        <item h="1" x="67"/>
        <item h="1" x="84"/>
        <item h="1" x="20"/>
        <item h="1" x="81"/>
        <item h="1" x="2"/>
        <item h="1" x="32"/>
        <item h="1" x="69"/>
        <item h="1" x="52"/>
        <item h="1" x="87"/>
        <item h="1" x="95"/>
        <item t="default"/>
      </items>
    </pivotField>
    <pivotField dataField="1" showAll="0"/>
    <pivotField dataField="1" showAll="0"/>
    <pivotField dataField="1" showAll="0"/>
    <pivotField dataField="1" showAll="0"/>
    <pivotField dataField="1" showAll="0"/>
    <pivotField dataField="1" showAll="0"/>
  </pivotFields>
  <rowFields count="1">
    <field x="1"/>
  </rowFields>
  <rowItems count="4">
    <i>
      <x v="1"/>
    </i>
    <i>
      <x v="2"/>
    </i>
    <i>
      <x v="3"/>
    </i>
    <i t="grand">
      <x/>
    </i>
  </rowItems>
  <colFields count="1">
    <field x="-2"/>
  </colFields>
  <colItems count="6">
    <i>
      <x/>
    </i>
    <i i="1">
      <x v="1"/>
    </i>
    <i i="2">
      <x v="2"/>
    </i>
    <i i="3">
      <x v="3"/>
    </i>
    <i i="4">
      <x v="4"/>
    </i>
    <i i="5">
      <x v="5"/>
    </i>
  </colItems>
  <dataFields count="6">
    <dataField name="Sum of Amount Paid (KES)" fld="4" baseField="0" baseItem="0"/>
    <dataField name="Sum of ARREAS" fld="5" baseField="0" baseItem="0"/>
    <dataField name="Sum of Weekly Due (KES)" fld="3" baseField="0" baseItem="0"/>
    <dataField name="Average of Rate of payment%" fld="6" subtotal="average" baseField="1" baseItem="0"/>
    <dataField name="Average of Total kWh Used (Weekly)" fld="7" subtotal="average" baseField="1" baseItem="0"/>
    <dataField name="Sum of Active Days" fld="8" baseField="0" baseItem="0"/>
  </dataFields>
  <formats count="4">
    <format dxfId="18">
      <pivotArea collapsedLevelsAreSubtotals="1" fieldPosition="0">
        <references count="2">
          <reference field="4294967294" count="1" selected="0">
            <x v="3"/>
          </reference>
          <reference field="1" count="1">
            <x v="0"/>
          </reference>
        </references>
      </pivotArea>
    </format>
    <format dxfId="17">
      <pivotArea collapsedLevelsAreSubtotals="1" fieldPosition="0">
        <references count="2">
          <reference field="4294967294" count="1" selected="0">
            <x v="3"/>
          </reference>
          <reference field="1" count="1">
            <x v="1"/>
          </reference>
        </references>
      </pivotArea>
    </format>
    <format dxfId="16">
      <pivotArea collapsedLevelsAreSubtotals="1" fieldPosition="0">
        <references count="2">
          <reference field="4294967294" count="1" selected="0">
            <x v="3"/>
          </reference>
          <reference field="1" count="1">
            <x v="2"/>
          </reference>
        </references>
      </pivotArea>
    </format>
    <format dxfId="15">
      <pivotArea field="1" grandRow="1" outline="0" collapsedLevelsAreSubtotals="1" axis="axisRow" fieldPosition="0">
        <references count="1">
          <reference field="4294967294" count="1" selected="0">
            <x v="3"/>
          </reference>
        </references>
      </pivotArea>
    </format>
  </formats>
  <chartFormats count="12">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0" format="4" series="1">
      <pivotArea type="data" outline="0" fieldPosition="0">
        <references count="1">
          <reference field="4294967294" count="1" selected="0">
            <x v="4"/>
          </reference>
        </references>
      </pivotArea>
    </chartFormat>
    <chartFormat chart="30" format="5" series="1">
      <pivotArea type="data" outline="0" fieldPosition="0">
        <references count="1">
          <reference field="4294967294" count="1" selected="0">
            <x v="5"/>
          </reference>
        </references>
      </pivotArea>
    </chartFormat>
    <chartFormat chart="32" format="12" series="1">
      <pivotArea type="data" outline="0" fieldPosition="0">
        <references count="1">
          <reference field="4294967294" count="1" selected="0">
            <x v="0"/>
          </reference>
        </references>
      </pivotArea>
    </chartFormat>
    <chartFormat chart="32" format="13" series="1">
      <pivotArea type="data" outline="0" fieldPosition="0">
        <references count="1">
          <reference field="4294967294" count="1" selected="0">
            <x v="1"/>
          </reference>
        </references>
      </pivotArea>
    </chartFormat>
    <chartFormat chart="32" format="14" series="1">
      <pivotArea type="data" outline="0" fieldPosition="0">
        <references count="1">
          <reference field="4294967294" count="1" selected="0">
            <x v="2"/>
          </reference>
        </references>
      </pivotArea>
    </chartFormat>
    <chartFormat chart="32" format="15" series="1">
      <pivotArea type="data" outline="0" fieldPosition="0">
        <references count="1">
          <reference field="4294967294" count="1" selected="0">
            <x v="3"/>
          </reference>
        </references>
      </pivotArea>
    </chartFormat>
    <chartFormat chart="32" format="16" series="1">
      <pivotArea type="data" outline="0" fieldPosition="0">
        <references count="1">
          <reference field="4294967294" count="1" selected="0">
            <x v="4"/>
          </reference>
        </references>
      </pivotArea>
    </chartFormat>
    <chartFormat chart="32"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317A33-45FF-40E7-918C-183F9A7F9390}"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25:C220" firstHeaderRow="0" firstDataRow="1" firstDataCol="1"/>
  <pivotFields count="10">
    <pivotField numFmtId="164" showAll="0"/>
    <pivotField showAll="0"/>
    <pivotField axis="axisRow" showAll="0" sortType="ascending">
      <items count="96">
        <item x="7"/>
        <item x="51"/>
        <item x="21"/>
        <item x="39"/>
        <item x="45"/>
        <item x="86"/>
        <item x="47"/>
        <item x="58"/>
        <item x="82"/>
        <item x="27"/>
        <item x="60"/>
        <item x="11"/>
        <item x="71"/>
        <item x="36"/>
        <item x="1"/>
        <item x="17"/>
        <item x="93"/>
        <item x="37"/>
        <item x="34"/>
        <item x="77"/>
        <item x="40"/>
        <item x="88"/>
        <item x="26"/>
        <item x="80"/>
        <item x="73"/>
        <item x="16"/>
        <item x="94"/>
        <item x="75"/>
        <item x="89"/>
        <item x="56"/>
        <item x="92"/>
        <item x="10"/>
        <item x="9"/>
        <item x="62"/>
        <item x="12"/>
        <item x="28"/>
        <item x="0"/>
        <item x="53"/>
        <item x="8"/>
        <item x="44"/>
        <item x="29"/>
        <item x="78"/>
        <item x="65"/>
        <item x="35"/>
        <item x="49"/>
        <item x="41"/>
        <item x="76"/>
        <item x="66"/>
        <item x="83"/>
        <item x="70"/>
        <item x="15"/>
        <item x="90"/>
        <item x="25"/>
        <item x="3"/>
        <item x="19"/>
        <item x="6"/>
        <item x="64"/>
        <item x="43"/>
        <item x="61"/>
        <item x="91"/>
        <item x="42"/>
        <item x="23"/>
        <item x="38"/>
        <item x="72"/>
        <item x="31"/>
        <item x="68"/>
        <item x="57"/>
        <item x="50"/>
        <item x="59"/>
        <item x="85"/>
        <item x="22"/>
        <item x="74"/>
        <item x="63"/>
        <item x="33"/>
        <item x="54"/>
        <item x="48"/>
        <item x="4"/>
        <item x="14"/>
        <item x="13"/>
        <item x="79"/>
        <item x="24"/>
        <item x="46"/>
        <item x="30"/>
        <item x="18"/>
        <item x="5"/>
        <item x="55"/>
        <item x="67"/>
        <item x="84"/>
        <item x="20"/>
        <item x="81"/>
        <item x="2"/>
        <item x="32"/>
        <item x="69"/>
        <item x="52"/>
        <item x="87"/>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2" showAll="0"/>
    <pivotField dataField="1" showAll="0"/>
    <pivotField dataField="1" showAll="0"/>
    <pivotField showAll="0">
      <items count="3">
        <item x="0"/>
        <item x="1"/>
        <item t="default"/>
      </items>
    </pivotField>
  </pivotFields>
  <rowFields count="1">
    <field x="2"/>
  </rowFields>
  <rowItems count="95">
    <i>
      <x v="9"/>
    </i>
    <i>
      <x v="76"/>
    </i>
    <i>
      <x v="3"/>
    </i>
    <i>
      <x v="14"/>
    </i>
    <i>
      <x v="55"/>
    </i>
    <i>
      <x v="82"/>
    </i>
    <i>
      <x v="11"/>
    </i>
    <i>
      <x v="2"/>
    </i>
    <i>
      <x v="25"/>
    </i>
    <i>
      <x v="84"/>
    </i>
    <i>
      <x v="80"/>
    </i>
    <i>
      <x v="52"/>
    </i>
    <i>
      <x v="54"/>
    </i>
    <i>
      <x v="31"/>
    </i>
    <i>
      <x v="64"/>
    </i>
    <i>
      <x v="50"/>
    </i>
    <i>
      <x v="35"/>
    </i>
    <i>
      <x v="73"/>
    </i>
    <i>
      <x v="22"/>
    </i>
    <i>
      <x v="40"/>
    </i>
    <i>
      <x v="62"/>
    </i>
    <i>
      <x v="36"/>
    </i>
    <i>
      <x v="38"/>
    </i>
    <i>
      <x v="34"/>
    </i>
    <i>
      <x v="32"/>
    </i>
    <i>
      <x v="88"/>
    </i>
    <i>
      <x v="91"/>
    </i>
    <i>
      <x v="43"/>
    </i>
    <i>
      <x/>
    </i>
    <i>
      <x v="18"/>
    </i>
    <i>
      <x v="4"/>
    </i>
    <i>
      <x v="72"/>
    </i>
    <i>
      <x v="44"/>
    </i>
    <i>
      <x v="49"/>
    </i>
    <i>
      <x v="71"/>
    </i>
    <i>
      <x v="39"/>
    </i>
    <i>
      <x v="94"/>
    </i>
    <i>
      <x v="66"/>
    </i>
    <i>
      <x v="58"/>
    </i>
    <i>
      <x v="45"/>
    </i>
    <i>
      <x v="67"/>
    </i>
    <i>
      <x v="86"/>
    </i>
    <i>
      <x v="56"/>
    </i>
    <i>
      <x v="10"/>
    </i>
    <i>
      <x v="24"/>
    </i>
    <i>
      <x v="30"/>
    </i>
    <i>
      <x v="87"/>
    </i>
    <i>
      <x v="1"/>
    </i>
    <i>
      <x v="53"/>
    </i>
    <i>
      <x v="8"/>
    </i>
    <i>
      <x v="28"/>
    </i>
    <i>
      <x v="48"/>
    </i>
    <i>
      <x v="77"/>
    </i>
    <i>
      <x v="41"/>
    </i>
    <i>
      <x v="33"/>
    </i>
    <i>
      <x v="75"/>
    </i>
    <i>
      <x v="47"/>
    </i>
    <i>
      <x v="70"/>
    </i>
    <i>
      <x v="21"/>
    </i>
    <i>
      <x v="51"/>
    </i>
    <i>
      <x v="19"/>
    </i>
    <i>
      <x v="23"/>
    </i>
    <i>
      <x v="26"/>
    </i>
    <i>
      <x v="16"/>
    </i>
    <i>
      <x v="65"/>
    </i>
    <i>
      <x v="20"/>
    </i>
    <i>
      <x v="13"/>
    </i>
    <i>
      <x v="74"/>
    </i>
    <i>
      <x v="15"/>
    </i>
    <i>
      <x v="61"/>
    </i>
    <i>
      <x v="27"/>
    </i>
    <i>
      <x v="46"/>
    </i>
    <i>
      <x v="81"/>
    </i>
    <i>
      <x v="63"/>
    </i>
    <i>
      <x v="78"/>
    </i>
    <i>
      <x v="6"/>
    </i>
    <i>
      <x v="93"/>
    </i>
    <i>
      <x v="92"/>
    </i>
    <i>
      <x v="42"/>
    </i>
    <i>
      <x v="57"/>
    </i>
    <i>
      <x v="89"/>
    </i>
    <i>
      <x v="85"/>
    </i>
    <i>
      <x v="59"/>
    </i>
    <i>
      <x v="79"/>
    </i>
    <i>
      <x v="60"/>
    </i>
    <i>
      <x v="29"/>
    </i>
    <i>
      <x v="7"/>
    </i>
    <i>
      <x v="90"/>
    </i>
    <i>
      <x v="68"/>
    </i>
    <i>
      <x v="5"/>
    </i>
    <i>
      <x v="17"/>
    </i>
    <i>
      <x v="83"/>
    </i>
    <i>
      <x v="12"/>
    </i>
    <i>
      <x v="69"/>
    </i>
    <i>
      <x v="37"/>
    </i>
  </rowItems>
  <colFields count="1">
    <field x="-2"/>
  </colFields>
  <colItems count="2">
    <i>
      <x/>
    </i>
    <i i="1">
      <x v="1"/>
    </i>
  </colItems>
  <dataFields count="2">
    <dataField name="Sum of Active Days" fld="8" baseField="0" baseItem="0"/>
    <dataField name="Average of Total kWh Used (Weekly)"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2E6D79-AD75-4A61-9426-FEB2ED808E03}"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23:I118" firstHeaderRow="0" firstDataRow="1" firstDataCol="1"/>
  <pivotFields count="10">
    <pivotField numFmtId="164" showAll="0"/>
    <pivotField showAll="0"/>
    <pivotField axis="axisRow" showAll="0" sortType="descending">
      <items count="96">
        <item x="7"/>
        <item x="51"/>
        <item x="21"/>
        <item x="39"/>
        <item x="45"/>
        <item x="86"/>
        <item x="47"/>
        <item x="58"/>
        <item x="82"/>
        <item x="27"/>
        <item x="60"/>
        <item x="11"/>
        <item x="71"/>
        <item x="36"/>
        <item x="1"/>
        <item x="17"/>
        <item x="93"/>
        <item x="37"/>
        <item x="34"/>
        <item x="77"/>
        <item x="40"/>
        <item x="88"/>
        <item x="26"/>
        <item x="80"/>
        <item x="73"/>
        <item x="16"/>
        <item x="94"/>
        <item x="75"/>
        <item x="89"/>
        <item x="56"/>
        <item x="92"/>
        <item x="10"/>
        <item x="9"/>
        <item x="62"/>
        <item x="12"/>
        <item x="28"/>
        <item x="0"/>
        <item x="53"/>
        <item x="8"/>
        <item x="44"/>
        <item x="29"/>
        <item x="78"/>
        <item x="65"/>
        <item x="35"/>
        <item x="49"/>
        <item x="41"/>
        <item x="76"/>
        <item x="66"/>
        <item x="83"/>
        <item x="70"/>
        <item x="15"/>
        <item x="90"/>
        <item x="25"/>
        <item x="3"/>
        <item x="19"/>
        <item x="6"/>
        <item x="64"/>
        <item x="43"/>
        <item x="61"/>
        <item x="91"/>
        <item x="42"/>
        <item x="23"/>
        <item x="38"/>
        <item x="72"/>
        <item x="31"/>
        <item x="68"/>
        <item x="57"/>
        <item x="50"/>
        <item x="59"/>
        <item x="85"/>
        <item x="22"/>
        <item x="74"/>
        <item x="63"/>
        <item x="33"/>
        <item x="54"/>
        <item x="48"/>
        <item x="4"/>
        <item x="14"/>
        <item x="13"/>
        <item x="79"/>
        <item x="24"/>
        <item x="46"/>
        <item x="30"/>
        <item x="18"/>
        <item x="5"/>
        <item x="55"/>
        <item x="67"/>
        <item x="84"/>
        <item x="20"/>
        <item x="81"/>
        <item x="2"/>
        <item x="32"/>
        <item x="69"/>
        <item x="52"/>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dataField="1" showAll="0"/>
    <pivotField dataField="1" showAll="0"/>
    <pivotField showAll="0">
      <items count="3">
        <item x="0"/>
        <item x="1"/>
        <item t="default"/>
      </items>
    </pivotField>
  </pivotFields>
  <rowFields count="1">
    <field x="2"/>
  </rowFields>
  <rowItems count="95">
    <i>
      <x v="46"/>
    </i>
    <i>
      <x v="16"/>
    </i>
    <i>
      <x v="77"/>
    </i>
    <i>
      <x v="53"/>
    </i>
    <i>
      <x v="83"/>
    </i>
    <i>
      <x v="69"/>
    </i>
    <i>
      <x v="60"/>
    </i>
    <i>
      <x v="13"/>
    </i>
    <i>
      <x v="78"/>
    </i>
    <i>
      <x v="5"/>
    </i>
    <i>
      <x v="86"/>
    </i>
    <i>
      <x v="17"/>
    </i>
    <i>
      <x v="68"/>
    </i>
    <i>
      <x v="27"/>
    </i>
    <i>
      <x v="7"/>
    </i>
    <i>
      <x v="29"/>
    </i>
    <i>
      <x v="79"/>
    </i>
    <i>
      <x v="37"/>
    </i>
    <i>
      <x v="85"/>
    </i>
    <i>
      <x v="42"/>
    </i>
    <i>
      <x v="90"/>
    </i>
    <i>
      <x v="12"/>
    </i>
    <i>
      <x v="59"/>
    </i>
    <i>
      <x v="92"/>
    </i>
    <i>
      <x v="57"/>
    </i>
    <i>
      <x v="81"/>
    </i>
    <i>
      <x v="63"/>
    </i>
    <i>
      <x v="89"/>
    </i>
    <i>
      <x v="65"/>
    </i>
    <i>
      <x v="51"/>
    </i>
    <i>
      <x v="23"/>
    </i>
    <i>
      <x v="93"/>
    </i>
    <i>
      <x v="41"/>
    </i>
    <i>
      <x v="15"/>
    </i>
    <i>
      <x v="70"/>
    </i>
    <i>
      <x v="21"/>
    </i>
    <i>
      <x v="26"/>
    </i>
    <i>
      <x v="61"/>
    </i>
    <i>
      <x v="6"/>
    </i>
    <i>
      <x v="47"/>
    </i>
    <i>
      <x v="87"/>
    </i>
    <i>
      <x v="74"/>
    </i>
    <i>
      <x v="28"/>
    </i>
    <i>
      <x v="8"/>
    </i>
    <i>
      <x v="75"/>
    </i>
    <i>
      <x v="19"/>
    </i>
    <i>
      <x v="20"/>
    </i>
    <i>
      <x v="1"/>
    </i>
    <i>
      <x v="56"/>
    </i>
    <i>
      <x v="30"/>
    </i>
    <i>
      <x v="33"/>
    </i>
    <i>
      <x v="48"/>
    </i>
    <i>
      <x v="10"/>
    </i>
    <i>
      <x v="24"/>
    </i>
    <i>
      <x v="66"/>
    </i>
    <i>
      <x v="44"/>
    </i>
    <i>
      <x v="39"/>
    </i>
    <i>
      <x v="71"/>
    </i>
    <i>
      <x v="94"/>
    </i>
    <i>
      <x v="72"/>
    </i>
    <i>
      <x v="4"/>
    </i>
    <i>
      <x v="49"/>
    </i>
    <i>
      <x v="45"/>
    </i>
    <i>
      <x v="58"/>
    </i>
    <i>
      <x v="67"/>
    </i>
    <i>
      <x v="36"/>
    </i>
    <i>
      <x v="34"/>
    </i>
    <i>
      <x v="32"/>
    </i>
    <i>
      <x v="43"/>
    </i>
    <i>
      <x v="88"/>
    </i>
    <i>
      <x/>
    </i>
    <i>
      <x v="91"/>
    </i>
    <i>
      <x v="38"/>
    </i>
    <i>
      <x v="18"/>
    </i>
    <i>
      <x v="35"/>
    </i>
    <i>
      <x v="2"/>
    </i>
    <i>
      <x v="40"/>
    </i>
    <i>
      <x v="11"/>
    </i>
    <i>
      <x v="54"/>
    </i>
    <i>
      <x v="64"/>
    </i>
    <i>
      <x v="62"/>
    </i>
    <i>
      <x v="52"/>
    </i>
    <i>
      <x v="73"/>
    </i>
    <i>
      <x v="50"/>
    </i>
    <i>
      <x v="22"/>
    </i>
    <i>
      <x v="84"/>
    </i>
    <i>
      <x v="25"/>
    </i>
    <i>
      <x v="80"/>
    </i>
    <i>
      <x v="31"/>
    </i>
    <i>
      <x v="9"/>
    </i>
    <i>
      <x v="55"/>
    </i>
    <i>
      <x v="82"/>
    </i>
    <i>
      <x v="14"/>
    </i>
    <i>
      <x v="3"/>
    </i>
    <i>
      <x v="76"/>
    </i>
  </rowItems>
  <colFields count="1">
    <field x="-2"/>
  </colFields>
  <colItems count="2">
    <i>
      <x/>
    </i>
    <i i="1">
      <x v="1"/>
    </i>
  </colItems>
  <dataFields count="2">
    <dataField name="Sum of Active Days" fld="8" baseField="2" baseItem="9"/>
    <dataField name="Average of Total kWh Used (Weekly)"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EA3189-F457-4FAA-A3CB-7274A1D7B889}"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Names ">
  <location ref="B22:D117" firstHeaderRow="0" firstDataRow="1" firstDataCol="1"/>
  <pivotFields count="10">
    <pivotField numFmtId="164" showAll="0"/>
    <pivotField showAll="0"/>
    <pivotField axis="axisRow" showAll="0" sortType="descending">
      <items count="96">
        <item x="7"/>
        <item x="51"/>
        <item x="21"/>
        <item x="39"/>
        <item x="45"/>
        <item x="86"/>
        <item x="47"/>
        <item x="58"/>
        <item x="82"/>
        <item x="27"/>
        <item x="60"/>
        <item x="11"/>
        <item x="71"/>
        <item x="36"/>
        <item x="1"/>
        <item x="17"/>
        <item x="93"/>
        <item x="37"/>
        <item x="34"/>
        <item x="77"/>
        <item x="40"/>
        <item x="88"/>
        <item x="26"/>
        <item x="80"/>
        <item x="73"/>
        <item x="16"/>
        <item x="94"/>
        <item x="75"/>
        <item x="89"/>
        <item x="56"/>
        <item x="92"/>
        <item x="10"/>
        <item x="9"/>
        <item x="62"/>
        <item x="12"/>
        <item x="28"/>
        <item x="0"/>
        <item x="53"/>
        <item x="8"/>
        <item x="44"/>
        <item x="29"/>
        <item x="78"/>
        <item x="65"/>
        <item x="35"/>
        <item x="49"/>
        <item x="41"/>
        <item x="76"/>
        <item x="66"/>
        <item x="83"/>
        <item x="70"/>
        <item x="15"/>
        <item x="90"/>
        <item x="25"/>
        <item x="3"/>
        <item x="19"/>
        <item x="6"/>
        <item x="64"/>
        <item x="43"/>
        <item x="61"/>
        <item x="91"/>
        <item x="42"/>
        <item x="23"/>
        <item x="38"/>
        <item x="72"/>
        <item x="31"/>
        <item x="68"/>
        <item x="57"/>
        <item x="50"/>
        <item x="59"/>
        <item x="85"/>
        <item x="22"/>
        <item x="74"/>
        <item x="63"/>
        <item x="33"/>
        <item x="54"/>
        <item x="48"/>
        <item x="4"/>
        <item x="14"/>
        <item x="13"/>
        <item x="79"/>
        <item x="24"/>
        <item x="46"/>
        <item x="30"/>
        <item x="18"/>
        <item x="5"/>
        <item x="55"/>
        <item x="67"/>
        <item x="84"/>
        <item x="20"/>
        <item x="81"/>
        <item x="2"/>
        <item x="32"/>
        <item x="69"/>
        <item x="52"/>
        <item x="87"/>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numFmtId="2" showAll="0"/>
    <pivotField showAll="0"/>
    <pivotField showAll="0"/>
    <pivotField showAll="0"/>
  </pivotFields>
  <rowFields count="1">
    <field x="2"/>
  </rowFields>
  <rowItems count="95">
    <i>
      <x v="16"/>
    </i>
    <i>
      <x v="46"/>
    </i>
    <i>
      <x v="86"/>
    </i>
    <i>
      <x v="77"/>
    </i>
    <i>
      <x v="26"/>
    </i>
    <i>
      <x v="51"/>
    </i>
    <i>
      <x v="59"/>
    </i>
    <i>
      <x v="30"/>
    </i>
    <i>
      <x v="21"/>
    </i>
    <i>
      <x v="28"/>
    </i>
    <i>
      <x v="5"/>
    </i>
    <i>
      <x v="69"/>
    </i>
    <i>
      <x v="94"/>
    </i>
    <i>
      <x v="87"/>
    </i>
    <i>
      <x v="79"/>
    </i>
    <i>
      <x v="23"/>
    </i>
    <i>
      <x v="89"/>
    </i>
    <i>
      <x v="41"/>
    </i>
    <i>
      <x v="8"/>
    </i>
    <i>
      <x v="48"/>
    </i>
    <i>
      <x v="19"/>
    </i>
    <i>
      <x v="53"/>
    </i>
    <i>
      <x v="27"/>
    </i>
    <i>
      <x v="71"/>
    </i>
    <i>
      <x v="12"/>
    </i>
    <i>
      <x v="24"/>
    </i>
    <i>
      <x v="63"/>
    </i>
    <i>
      <x v="92"/>
    </i>
    <i>
      <x v="65"/>
    </i>
    <i>
      <x v="49"/>
    </i>
    <i>
      <x v="42"/>
    </i>
    <i>
      <x v="47"/>
    </i>
    <i>
      <x v="56"/>
    </i>
    <i>
      <x v="72"/>
    </i>
    <i>
      <x v="33"/>
    </i>
    <i>
      <x v="58"/>
    </i>
    <i>
      <x v="10"/>
    </i>
    <i>
      <x v="7"/>
    </i>
    <i>
      <x v="68"/>
    </i>
    <i>
      <x v="85"/>
    </i>
    <i>
      <x v="29"/>
    </i>
    <i>
      <x v="66"/>
    </i>
    <i>
      <x v="93"/>
    </i>
    <i>
      <x v="37"/>
    </i>
    <i>
      <x v="74"/>
    </i>
    <i>
      <x v="1"/>
    </i>
    <i>
      <x v="67"/>
    </i>
    <i>
      <x v="44"/>
    </i>
    <i>
      <x v="81"/>
    </i>
    <i>
      <x v="75"/>
    </i>
    <i>
      <x v="6"/>
    </i>
    <i>
      <x v="4"/>
    </i>
    <i>
      <x v="39"/>
    </i>
    <i>
      <x v="60"/>
    </i>
    <i>
      <x v="57"/>
    </i>
    <i>
      <x v="45"/>
    </i>
    <i>
      <x v="20"/>
    </i>
    <i>
      <x v="3"/>
    </i>
    <i>
      <x v="13"/>
    </i>
    <i>
      <x v="17"/>
    </i>
    <i>
      <x v="62"/>
    </i>
    <i>
      <x v="43"/>
    </i>
    <i>
      <x v="18"/>
    </i>
    <i>
      <x v="73"/>
    </i>
    <i>
      <x v="91"/>
    </i>
    <i>
      <x v="64"/>
    </i>
    <i>
      <x v="82"/>
    </i>
    <i>
      <x v="40"/>
    </i>
    <i>
      <x v="35"/>
    </i>
    <i>
      <x v="9"/>
    </i>
    <i>
      <x v="22"/>
    </i>
    <i>
      <x v="52"/>
    </i>
    <i>
      <x v="61"/>
    </i>
    <i>
      <x v="80"/>
    </i>
    <i>
      <x v="70"/>
    </i>
    <i>
      <x v="2"/>
    </i>
    <i>
      <x v="88"/>
    </i>
    <i>
      <x v="83"/>
    </i>
    <i>
      <x v="54"/>
    </i>
    <i>
      <x v="15"/>
    </i>
    <i>
      <x v="25"/>
    </i>
    <i>
      <x v="50"/>
    </i>
    <i>
      <x v="78"/>
    </i>
    <i>
      <x v="34"/>
    </i>
    <i>
      <x v="11"/>
    </i>
    <i>
      <x v="31"/>
    </i>
    <i>
      <x v="32"/>
    </i>
    <i>
      <x v="38"/>
    </i>
    <i>
      <x/>
    </i>
    <i>
      <x v="55"/>
    </i>
    <i>
      <x v="76"/>
    </i>
    <i>
      <x v="90"/>
    </i>
    <i>
      <x v="84"/>
    </i>
    <i>
      <x v="14"/>
    </i>
    <i>
      <x v="36"/>
    </i>
  </rowItems>
  <colFields count="1">
    <field x="-2"/>
  </colFields>
  <colItems count="2">
    <i>
      <x/>
    </i>
    <i i="1">
      <x v="1"/>
    </i>
  </colItems>
  <dataFields count="2">
    <dataField name="Sum of Amount Paid (KES)" fld="4" baseField="2" baseItem="16"/>
    <dataField name="Sum of ARREAS (KES)" fld="5" baseField="2" baseItem="1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Date1" xr10:uid="{55B5C8F3-9767-47E0-82E8-9DAEBEE735B1}" sourceName="Sale Date">
  <pivotTables>
    <pivotTable tabId="6" name="PivotTable3"/>
    <pivotTable tabId="6" name="PivotTable2"/>
  </pivotTables>
  <data>
    <tabular pivotCacheId="565394652">
      <items count="61">
        <i x="3" s="1"/>
        <i x="18" s="1"/>
        <i x="1" s="1"/>
        <i x="0" s="1"/>
        <i x="12" s="1"/>
        <i x="26" s="1"/>
        <i x="15" s="1"/>
        <i x="27" s="1"/>
        <i x="20" s="1"/>
        <i x="22" s="1"/>
        <i x="10" s="1"/>
        <i x="21" s="1"/>
        <i x="25" s="1"/>
        <i x="7" s="1"/>
        <i x="11" s="1"/>
        <i x="16" s="1"/>
        <i x="23" s="1"/>
        <i x="13" s="1"/>
        <i x="2" s="1"/>
        <i x="30" s="1"/>
        <i x="5" s="1"/>
        <i x="8" s="1"/>
        <i x="6" s="1"/>
        <i x="24" s="1"/>
        <i x="9" s="1"/>
        <i x="44" s="1"/>
        <i x="52" s="1"/>
        <i x="38" s="1"/>
        <i x="53" s="1"/>
        <i x="57" s="1"/>
        <i x="47" s="1"/>
        <i x="45" s="1"/>
        <i x="54" s="1"/>
        <i x="39" s="1"/>
        <i x="55" s="1"/>
        <i x="58" s="1"/>
        <i x="33" s="1"/>
        <i x="42" s="1"/>
        <i x="41" s="1"/>
        <i x="35" s="1"/>
        <i x="56" s="1"/>
        <i x="48" s="1"/>
        <i x="43" s="1"/>
        <i x="59" s="1"/>
        <i x="50" s="1"/>
        <i x="40" s="1"/>
        <i x="32" s="1"/>
        <i x="46" s="1"/>
        <i x="51" s="1"/>
        <i x="36" s="1"/>
        <i x="37" s="1"/>
        <i x="31" s="1"/>
        <i x="49" s="1"/>
        <i x="34" s="1"/>
        <i x="19" s="1"/>
        <i x="17" s="1"/>
        <i x="29" s="1"/>
        <i x="14" s="1"/>
        <i x="4" s="1"/>
        <i x="28" s="1"/>
        <i x="6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D1ED8885-443C-4856-AD36-371DDDC4FA80}" sourceName="Month">
  <pivotTables>
    <pivotTable tabId="6" name="PivotTable2"/>
  </pivotTables>
  <data>
    <tabular pivotCacheId="565394652">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Date" xr10:uid="{611E8662-742D-4CCB-B672-D2BF23AECA81}" cache="Slicer_Sale_Date1" caption="Sale Date" startItem="7" rowHeight="257175"/>
  <slicer name="Month" xr10:uid="{5FAA638B-F507-425D-B40E-ECF9F63BF33A}" cache="Slicer_Month1" caption="Month"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Date 1" xr10:uid="{0E674449-BF53-45CA-B6CE-C4BD2DEAF495}" cache="Slicer_Sale_Date1" caption="Sale Date" startItem="54" rowHeight="257175"/>
  <slicer name="Month 2" xr10:uid="{356BD317-C181-4AE1-A555-AE8131A87BC6}" cache="Slicer_Month1" caption="Month"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D37BE-5C84-414E-8A37-B9826C6FF28E}">
  <dimension ref="A1:B22"/>
  <sheetViews>
    <sheetView workbookViewId="0">
      <selection activeCell="B6" sqref="B6"/>
    </sheetView>
  </sheetViews>
  <sheetFormatPr defaultRowHeight="12.75" x14ac:dyDescent="0.2"/>
  <cols>
    <col min="1" max="1" width="2" style="3" bestFit="1" customWidth="1"/>
    <col min="2" max="2" width="127.42578125" style="2" bestFit="1" customWidth="1"/>
    <col min="3" max="16384" width="9.140625" style="2"/>
  </cols>
  <sheetData>
    <row r="1" spans="1:2" x14ac:dyDescent="0.2">
      <c r="B1" s="4" t="s">
        <v>0</v>
      </c>
    </row>
    <row r="2" spans="1:2" ht="13.5" x14ac:dyDescent="0.25">
      <c r="A2" s="3">
        <v>1</v>
      </c>
      <c r="B2" s="6" t="s">
        <v>1</v>
      </c>
    </row>
    <row r="3" spans="1:2" ht="13.5" x14ac:dyDescent="0.25">
      <c r="A3" s="3">
        <v>2</v>
      </c>
      <c r="B3" s="6" t="s">
        <v>2</v>
      </c>
    </row>
    <row r="4" spans="1:2" ht="13.5" x14ac:dyDescent="0.25">
      <c r="A4" s="3">
        <v>3</v>
      </c>
      <c r="B4" s="6" t="s">
        <v>3</v>
      </c>
    </row>
    <row r="5" spans="1:2" ht="27" x14ac:dyDescent="0.25">
      <c r="A5" s="3">
        <v>4</v>
      </c>
      <c r="B5" s="7" t="s">
        <v>4</v>
      </c>
    </row>
    <row r="6" spans="1:2" ht="13.5" x14ac:dyDescent="0.25">
      <c r="A6" s="3">
        <v>5</v>
      </c>
      <c r="B6" s="6" t="s">
        <v>5</v>
      </c>
    </row>
    <row r="7" spans="1:2" ht="13.5" x14ac:dyDescent="0.2">
      <c r="B7" s="8"/>
    </row>
    <row r="8" spans="1:2" ht="13.5" x14ac:dyDescent="0.25">
      <c r="B8" s="6"/>
    </row>
    <row r="9" spans="1:2" ht="13.5" x14ac:dyDescent="0.25">
      <c r="B9" s="9"/>
    </row>
    <row r="10" spans="1:2" ht="13.5" x14ac:dyDescent="0.25">
      <c r="B10" s="6"/>
    </row>
    <row r="11" spans="1:2" ht="13.5" x14ac:dyDescent="0.25">
      <c r="B11" s="6"/>
    </row>
    <row r="12" spans="1:2" ht="13.5" x14ac:dyDescent="0.25">
      <c r="B12" s="9"/>
    </row>
    <row r="13" spans="1:2" ht="13.5" x14ac:dyDescent="0.25">
      <c r="B13" s="6"/>
    </row>
    <row r="14" spans="1:2" ht="13.5" x14ac:dyDescent="0.25">
      <c r="B14" s="6"/>
    </row>
    <row r="15" spans="1:2" ht="13.5" x14ac:dyDescent="0.25">
      <c r="B15" s="9"/>
    </row>
    <row r="16" spans="1:2" ht="13.5" x14ac:dyDescent="0.25">
      <c r="B16" s="6"/>
    </row>
    <row r="17" spans="2:2" ht="13.5" x14ac:dyDescent="0.25">
      <c r="B17" s="6"/>
    </row>
    <row r="18" spans="2:2" ht="13.5" x14ac:dyDescent="0.25">
      <c r="B18" s="9"/>
    </row>
    <row r="19" spans="2:2" ht="13.5" x14ac:dyDescent="0.25">
      <c r="B19" s="6"/>
    </row>
    <row r="20" spans="2:2" ht="13.5" x14ac:dyDescent="0.25">
      <c r="B20" s="6"/>
    </row>
    <row r="21" spans="2:2" ht="13.5" x14ac:dyDescent="0.25">
      <c r="B21" s="9"/>
    </row>
    <row r="22" spans="2:2" ht="13.5" x14ac:dyDescent="0.25">
      <c r="B2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B2B2A-C88F-40EA-A422-E04E0A405141}">
  <dimension ref="A1:J101"/>
  <sheetViews>
    <sheetView topLeftCell="C85" workbookViewId="0">
      <selection activeCell="C97" sqref="C97"/>
    </sheetView>
  </sheetViews>
  <sheetFormatPr defaultRowHeight="15" x14ac:dyDescent="0.25"/>
  <cols>
    <col min="1" max="1" width="10.42578125" bestFit="1" customWidth="1"/>
    <col min="2" max="2" width="15.42578125" customWidth="1"/>
    <col min="3" max="3" width="16.5703125" bestFit="1" customWidth="1"/>
    <col min="4" max="4" width="17.42578125" bestFit="1" customWidth="1"/>
    <col min="5" max="5" width="17.85546875" bestFit="1" customWidth="1"/>
    <col min="6" max="6" width="17.85546875" customWidth="1"/>
    <col min="7" max="7" width="22.28515625" style="12" customWidth="1"/>
    <col min="8" max="8" width="26.140625" customWidth="1"/>
    <col min="9" max="9" width="18" customWidth="1"/>
    <col min="10" max="10" width="19.7109375" customWidth="1"/>
  </cols>
  <sheetData>
    <row r="1" spans="1:10" s="1" customFormat="1" x14ac:dyDescent="0.25">
      <c r="A1" s="1" t="s">
        <v>6</v>
      </c>
      <c r="B1" s="1" t="s">
        <v>107</v>
      </c>
      <c r="C1" s="1" t="s">
        <v>7</v>
      </c>
      <c r="D1" s="1" t="s">
        <v>8</v>
      </c>
      <c r="E1" s="1" t="s">
        <v>9</v>
      </c>
      <c r="F1" s="1" t="s">
        <v>108</v>
      </c>
      <c r="G1" s="11" t="s">
        <v>109</v>
      </c>
      <c r="H1" s="1" t="s">
        <v>10</v>
      </c>
      <c r="I1" s="1" t="s">
        <v>11</v>
      </c>
      <c r="J1" s="1" t="s">
        <v>122</v>
      </c>
    </row>
    <row r="2" spans="1:10" x14ac:dyDescent="0.25">
      <c r="A2" s="5">
        <v>46054</v>
      </c>
      <c r="B2" s="5" t="str">
        <f>TEXT(A2,"mmm")</f>
        <v>Feb</v>
      </c>
      <c r="C2" t="s">
        <v>85</v>
      </c>
      <c r="D2">
        <v>700</v>
      </c>
      <c r="E2">
        <v>8</v>
      </c>
      <c r="F2">
        <f>D2-E2</f>
        <v>692</v>
      </c>
      <c r="G2" s="12">
        <f>(E2/D2)*100</f>
        <v>1.1428571428571428</v>
      </c>
      <c r="H2">
        <v>3.1</v>
      </c>
      <c r="I2">
        <v>2</v>
      </c>
      <c r="J2" t="str">
        <f>IF(AND(Data!F2&gt;400, Data!G2&lt;45), "HIGH", "NORMAL")</f>
        <v>HIGH</v>
      </c>
    </row>
    <row r="3" spans="1:10" x14ac:dyDescent="0.25">
      <c r="A3" s="5">
        <v>46053</v>
      </c>
      <c r="B3" s="5" t="str">
        <f>TEXT(A3,"mmm")</f>
        <v>Jan</v>
      </c>
      <c r="C3" t="s">
        <v>84</v>
      </c>
      <c r="D3">
        <v>700</v>
      </c>
      <c r="E3">
        <v>18</v>
      </c>
      <c r="F3">
        <f>D3-E3</f>
        <v>682</v>
      </c>
      <c r="G3" s="12">
        <f>(E3/D3)*100</f>
        <v>2.5714285714285712</v>
      </c>
      <c r="H3">
        <v>0</v>
      </c>
      <c r="I3">
        <v>0</v>
      </c>
      <c r="J3" t="str">
        <f>IF(AND(Data!F3&gt;400, Data!G3&lt;45), "HIGH", "NORMAL")</f>
        <v>HIGH</v>
      </c>
    </row>
    <row r="4" spans="1:10" x14ac:dyDescent="0.25">
      <c r="A4" s="5">
        <v>46069</v>
      </c>
      <c r="B4" s="5" t="str">
        <f>TEXT(A4,"mmm")</f>
        <v>Feb</v>
      </c>
      <c r="C4" t="s">
        <v>30</v>
      </c>
      <c r="D4">
        <v>700</v>
      </c>
      <c r="E4">
        <v>34</v>
      </c>
      <c r="F4">
        <f>D4-E4</f>
        <v>666</v>
      </c>
      <c r="G4" s="12">
        <f>(E4/D4)*100</f>
        <v>4.8571428571428568</v>
      </c>
      <c r="H4">
        <v>14.7</v>
      </c>
      <c r="I4">
        <v>7</v>
      </c>
      <c r="J4" t="str">
        <f>IF(AND(Data!F4&gt;400, Data!G4&lt;45), "HIGH", "NORMAL")</f>
        <v>HIGH</v>
      </c>
    </row>
    <row r="5" spans="1:10" x14ac:dyDescent="0.25">
      <c r="A5" s="5">
        <v>46023</v>
      </c>
      <c r="B5" s="5" t="str">
        <f>TEXT(A5,"mmm")</f>
        <v>Jan</v>
      </c>
      <c r="C5" t="s">
        <v>50</v>
      </c>
      <c r="D5">
        <v>700</v>
      </c>
      <c r="E5">
        <v>34</v>
      </c>
      <c r="F5">
        <f>D5-E5</f>
        <v>666</v>
      </c>
      <c r="G5" s="12">
        <f>(E5/D5)*100</f>
        <v>4.8571428571428568</v>
      </c>
      <c r="H5">
        <v>7.7</v>
      </c>
      <c r="I5">
        <v>4</v>
      </c>
      <c r="J5" t="str">
        <f>IF(AND(Data!F5&gt;400, Data!G5&lt;45), "HIGH", "NORMAL")</f>
        <v>HIGH</v>
      </c>
    </row>
    <row r="6" spans="1:10" x14ac:dyDescent="0.25">
      <c r="A6" s="5">
        <v>46109</v>
      </c>
      <c r="B6" s="5" t="str">
        <f>TEXT(A6,"mmm")</f>
        <v>Mar</v>
      </c>
      <c r="C6" t="s">
        <v>81</v>
      </c>
      <c r="D6">
        <v>700</v>
      </c>
      <c r="E6">
        <v>34</v>
      </c>
      <c r="F6">
        <f>D6-E6</f>
        <v>666</v>
      </c>
      <c r="G6" s="12">
        <f>(E6/D6)*100</f>
        <v>4.8571428571428568</v>
      </c>
      <c r="H6">
        <v>0</v>
      </c>
      <c r="I6">
        <v>0</v>
      </c>
      <c r="J6" t="str">
        <f>IF(AND(Data!F6&gt;400, Data!G6&lt;45), "HIGH", "NORMAL")</f>
        <v>HIGH</v>
      </c>
    </row>
    <row r="7" spans="1:10" x14ac:dyDescent="0.25">
      <c r="A7" s="5">
        <v>46071</v>
      </c>
      <c r="B7" s="5" t="str">
        <f>TEXT(A7,"mmm")</f>
        <v>Feb</v>
      </c>
      <c r="C7" t="s">
        <v>102</v>
      </c>
      <c r="D7">
        <v>700</v>
      </c>
      <c r="E7">
        <v>34</v>
      </c>
      <c r="F7">
        <f>D7-E7</f>
        <v>666</v>
      </c>
      <c r="G7" s="12">
        <f>(E7/D7)*100</f>
        <v>4.8571428571428568</v>
      </c>
      <c r="H7">
        <v>1.7</v>
      </c>
      <c r="I7">
        <v>1</v>
      </c>
      <c r="J7" t="str">
        <f>IF(AND(Data!F7&gt;400, Data!G7&lt;45), "HIGH", "NORMAL")</f>
        <v>HIGH</v>
      </c>
    </row>
    <row r="8" spans="1:10" x14ac:dyDescent="0.25">
      <c r="A8" s="5">
        <v>46073</v>
      </c>
      <c r="B8" s="5" t="str">
        <f>TEXT(A8,"mmm")</f>
        <v>Feb</v>
      </c>
      <c r="C8" t="s">
        <v>104</v>
      </c>
      <c r="D8">
        <v>700</v>
      </c>
      <c r="E8">
        <v>45</v>
      </c>
      <c r="F8">
        <f>D8-E8</f>
        <v>655</v>
      </c>
      <c r="G8" s="12">
        <f>(E8/D8)*100</f>
        <v>6.4285714285714279</v>
      </c>
      <c r="H8">
        <v>0</v>
      </c>
      <c r="I8">
        <v>0</v>
      </c>
      <c r="J8" t="str">
        <f>IF(AND(Data!F8&gt;400, Data!G8&lt;45), "HIGH", "NORMAL")</f>
        <v>HIGH</v>
      </c>
    </row>
    <row r="9" spans="1:10" x14ac:dyDescent="0.25">
      <c r="A9" s="5">
        <v>46064</v>
      </c>
      <c r="B9" s="5" t="str">
        <f>TEXT(A9,"mmm")</f>
        <v>Feb</v>
      </c>
      <c r="C9" t="s">
        <v>95</v>
      </c>
      <c r="D9">
        <v>700</v>
      </c>
      <c r="E9">
        <v>57</v>
      </c>
      <c r="F9">
        <f>D9-E9</f>
        <v>643</v>
      </c>
      <c r="G9" s="12">
        <f>(E9/D9)*100</f>
        <v>8.1428571428571441</v>
      </c>
      <c r="H9">
        <v>4.3</v>
      </c>
      <c r="I9">
        <v>2</v>
      </c>
      <c r="J9" t="str">
        <f>IF(AND(Data!F9&gt;400, Data!G9&lt;45), "HIGH", "NORMAL")</f>
        <v>HIGH</v>
      </c>
    </row>
    <row r="10" spans="1:10" x14ac:dyDescent="0.25">
      <c r="A10" s="5">
        <v>46072</v>
      </c>
      <c r="B10" s="5" t="str">
        <f>TEXT(A10,"mmm")</f>
        <v>Feb</v>
      </c>
      <c r="C10" t="s">
        <v>103</v>
      </c>
      <c r="D10">
        <v>700</v>
      </c>
      <c r="E10">
        <v>69</v>
      </c>
      <c r="F10">
        <f>D10-E10</f>
        <v>631</v>
      </c>
      <c r="G10" s="12">
        <f>(E10/D10)*100</f>
        <v>9.8571428571428577</v>
      </c>
      <c r="H10">
        <v>3.2</v>
      </c>
      <c r="I10">
        <v>2</v>
      </c>
      <c r="J10" t="str">
        <f>IF(AND(Data!F10&gt;400, Data!G10&lt;45), "HIGH", "NORMAL")</f>
        <v>HIGH</v>
      </c>
    </row>
    <row r="11" spans="1:10" x14ac:dyDescent="0.25">
      <c r="A11" s="5">
        <v>46075</v>
      </c>
      <c r="B11" s="5" t="str">
        <f>TEXT(A11,"mmm")</f>
        <v>Feb</v>
      </c>
      <c r="C11" t="s">
        <v>106</v>
      </c>
      <c r="D11">
        <v>700</v>
      </c>
      <c r="E11">
        <v>75</v>
      </c>
      <c r="F11">
        <f>D11-E11</f>
        <v>625</v>
      </c>
      <c r="G11" s="12">
        <f>(E11/D11)*100</f>
        <v>10.714285714285714</v>
      </c>
      <c r="H11">
        <v>4</v>
      </c>
      <c r="I11">
        <v>2</v>
      </c>
      <c r="J11" t="str">
        <f>IF(AND(Data!F11&gt;400, Data!G11&lt;45), "HIGH", "NORMAL")</f>
        <v>HIGH</v>
      </c>
    </row>
    <row r="12" spans="1:10" x14ac:dyDescent="0.25">
      <c r="A12" s="5">
        <v>46061</v>
      </c>
      <c r="B12" s="5" t="str">
        <f>TEXT(A12,"mmm")</f>
        <v>Feb</v>
      </c>
      <c r="C12" t="s">
        <v>92</v>
      </c>
      <c r="D12">
        <v>700</v>
      </c>
      <c r="E12">
        <v>78</v>
      </c>
      <c r="F12">
        <f>D12-E12</f>
        <v>622</v>
      </c>
      <c r="G12" s="12">
        <f>(E12/D12)*100</f>
        <v>11.142857142857142</v>
      </c>
      <c r="H12">
        <v>2</v>
      </c>
      <c r="I12">
        <v>1</v>
      </c>
      <c r="J12" t="str">
        <f>IF(AND(Data!F12&gt;400, Data!G12&lt;45), "HIGH", "NORMAL")</f>
        <v>HIGH</v>
      </c>
    </row>
    <row r="13" spans="1:10" x14ac:dyDescent="0.25">
      <c r="A13" s="5">
        <v>46065</v>
      </c>
      <c r="B13" s="5" t="str">
        <f>TEXT(A13,"mmm")</f>
        <v>Feb</v>
      </c>
      <c r="C13" t="s">
        <v>96</v>
      </c>
      <c r="D13">
        <v>700</v>
      </c>
      <c r="E13">
        <v>93</v>
      </c>
      <c r="F13">
        <f>D13-E13</f>
        <v>607</v>
      </c>
      <c r="G13" s="12">
        <f>(E13/D13)*100</f>
        <v>13.285714285714286</v>
      </c>
      <c r="H13">
        <v>1.5</v>
      </c>
      <c r="I13">
        <v>1</v>
      </c>
      <c r="J13" t="str">
        <f>IF(AND(Data!F13&gt;400, Data!G13&lt;45), "HIGH", "NORMAL")</f>
        <v>HIGH</v>
      </c>
    </row>
    <row r="14" spans="1:10" x14ac:dyDescent="0.25">
      <c r="A14" s="5">
        <v>46055</v>
      </c>
      <c r="B14" s="5" t="str">
        <f>TEXT(A14,"mmm")</f>
        <v>Feb</v>
      </c>
      <c r="C14" t="s">
        <v>86</v>
      </c>
      <c r="D14">
        <v>700</v>
      </c>
      <c r="E14">
        <v>108</v>
      </c>
      <c r="F14">
        <f>D14-E14</f>
        <v>592</v>
      </c>
      <c r="G14" s="12">
        <f>(E14/D14)*100</f>
        <v>15.428571428571427</v>
      </c>
      <c r="H14">
        <v>3.4</v>
      </c>
      <c r="I14">
        <v>2</v>
      </c>
      <c r="J14" t="str">
        <f>IF(AND(Data!F14&gt;400, Data!G14&lt;45), "HIGH", "NORMAL")</f>
        <v>HIGH</v>
      </c>
    </row>
    <row r="15" spans="1:10" x14ac:dyDescent="0.25">
      <c r="A15" s="5">
        <v>46068</v>
      </c>
      <c r="B15" s="5" t="str">
        <f>TEXT(A15,"mmm")</f>
        <v>Feb</v>
      </c>
      <c r="C15" t="s">
        <v>29</v>
      </c>
      <c r="D15">
        <v>700</v>
      </c>
      <c r="E15">
        <v>128</v>
      </c>
      <c r="F15">
        <f>D15-E15</f>
        <v>572</v>
      </c>
      <c r="G15" s="12">
        <f>(E15/D15)*100</f>
        <v>18.285714285714285</v>
      </c>
      <c r="H15">
        <v>12.1</v>
      </c>
      <c r="I15">
        <v>7</v>
      </c>
      <c r="J15" t="str">
        <f>IF(AND(Data!F15&gt;400, Data!G15&lt;45), "HIGH", "NORMAL")</f>
        <v>HIGH</v>
      </c>
    </row>
    <row r="16" spans="1:10" x14ac:dyDescent="0.25">
      <c r="A16" s="5">
        <v>46023</v>
      </c>
      <c r="B16" s="5" t="str">
        <f>TEXT(A16,"mmm")</f>
        <v>Jan</v>
      </c>
      <c r="C16" t="s">
        <v>32</v>
      </c>
      <c r="D16">
        <v>700</v>
      </c>
      <c r="E16">
        <v>128</v>
      </c>
      <c r="F16">
        <f>D16-E16</f>
        <v>572</v>
      </c>
      <c r="G16" s="12">
        <f>(E16/D16)*100</f>
        <v>18.285714285714285</v>
      </c>
      <c r="H16">
        <v>6.6</v>
      </c>
      <c r="I16">
        <v>4</v>
      </c>
      <c r="J16" t="str">
        <f>IF(AND(Data!F16&gt;400, Data!G16&lt;45), "HIGH", "NORMAL")</f>
        <v>HIGH</v>
      </c>
    </row>
    <row r="17" spans="1:10" x14ac:dyDescent="0.25">
      <c r="A17" s="5">
        <v>46108</v>
      </c>
      <c r="B17" s="5" t="str">
        <f>TEXT(A17,"mmm")</f>
        <v>Mar</v>
      </c>
      <c r="C17" t="s">
        <v>80</v>
      </c>
      <c r="D17">
        <v>700</v>
      </c>
      <c r="E17">
        <v>128</v>
      </c>
      <c r="F17">
        <f>D17-E17</f>
        <v>572</v>
      </c>
      <c r="G17" s="12">
        <f>(E17/D17)*100</f>
        <v>18.285714285714285</v>
      </c>
      <c r="H17">
        <v>2</v>
      </c>
      <c r="I17">
        <v>1</v>
      </c>
      <c r="J17" t="str">
        <f>IF(AND(Data!F17&gt;400, Data!G17&lt;45), "HIGH", "NORMAL")</f>
        <v>HIGH</v>
      </c>
    </row>
    <row r="18" spans="1:10" x14ac:dyDescent="0.25">
      <c r="A18" s="5">
        <v>46057</v>
      </c>
      <c r="B18" s="5" t="str">
        <f>TEXT(A18,"mmm")</f>
        <v>Feb</v>
      </c>
      <c r="C18" t="s">
        <v>88</v>
      </c>
      <c r="D18">
        <v>700</v>
      </c>
      <c r="E18">
        <v>138</v>
      </c>
      <c r="F18">
        <f>D18-E18</f>
        <v>562</v>
      </c>
      <c r="G18" s="12">
        <f>(E18/D18)*100</f>
        <v>19.714285714285715</v>
      </c>
      <c r="H18">
        <v>1.6</v>
      </c>
      <c r="I18">
        <v>1</v>
      </c>
      <c r="J18" t="str">
        <f>IF(AND(Data!F18&gt;400, Data!G18&lt;45), "HIGH", "NORMAL")</f>
        <v>HIGH</v>
      </c>
    </row>
    <row r="19" spans="1:10" x14ac:dyDescent="0.25">
      <c r="A19" s="5">
        <v>46066</v>
      </c>
      <c r="B19" s="5" t="str">
        <f>TEXT(A19,"mmm")</f>
        <v>Feb</v>
      </c>
      <c r="C19" t="s">
        <v>27</v>
      </c>
      <c r="D19">
        <v>700</v>
      </c>
      <c r="E19">
        <v>141</v>
      </c>
      <c r="F19">
        <f>D19-E19</f>
        <v>559</v>
      </c>
      <c r="G19" s="12">
        <f>(E19/D19)*100</f>
        <v>20.142857142857142</v>
      </c>
      <c r="H19">
        <v>11.1</v>
      </c>
      <c r="I19">
        <v>6</v>
      </c>
      <c r="J19" t="str">
        <f>IF(AND(Data!F19&gt;400, Data!G19&lt;45), "HIGH", "NORMAL")</f>
        <v>HIGH</v>
      </c>
    </row>
    <row r="20" spans="1:10" x14ac:dyDescent="0.25">
      <c r="A20" s="5">
        <v>46023</v>
      </c>
      <c r="B20" s="5" t="str">
        <f>TEXT(A20,"mmm")</f>
        <v>Jan</v>
      </c>
      <c r="C20" t="s">
        <v>48</v>
      </c>
      <c r="D20">
        <v>700</v>
      </c>
      <c r="E20">
        <v>141</v>
      </c>
      <c r="F20">
        <f>D20-E20</f>
        <v>559</v>
      </c>
      <c r="G20" s="12">
        <f>(E20/D20)*100</f>
        <v>20.142857142857142</v>
      </c>
      <c r="H20">
        <v>15.5</v>
      </c>
      <c r="I20">
        <v>7</v>
      </c>
      <c r="J20" t="str">
        <f>IF(AND(Data!F20&gt;400, Data!G20&lt;45), "HIGH", "NORMAL")</f>
        <v>HIGH</v>
      </c>
    </row>
    <row r="21" spans="1:10" x14ac:dyDescent="0.25">
      <c r="A21" s="5">
        <v>46106</v>
      </c>
      <c r="B21" s="5" t="str">
        <f>TEXT(A21,"mmm")</f>
        <v>Mar</v>
      </c>
      <c r="C21" t="s">
        <v>78</v>
      </c>
      <c r="D21">
        <v>700</v>
      </c>
      <c r="E21">
        <v>141</v>
      </c>
      <c r="F21">
        <f>D21-E21</f>
        <v>559</v>
      </c>
      <c r="G21" s="12">
        <f>(E21/D21)*100</f>
        <v>20.142857142857142</v>
      </c>
      <c r="H21">
        <v>1.9</v>
      </c>
      <c r="I21">
        <v>1</v>
      </c>
      <c r="J21" t="str">
        <f>IF(AND(Data!F21&gt;400, Data!G21&lt;45), "HIGH", "NORMAL")</f>
        <v>HIGH</v>
      </c>
    </row>
    <row r="22" spans="1:10" x14ac:dyDescent="0.25">
      <c r="A22" s="5">
        <v>46066</v>
      </c>
      <c r="B22" s="5" t="str">
        <f>TEXT(A22,"mmm")</f>
        <v>Feb</v>
      </c>
      <c r="C22" t="s">
        <v>97</v>
      </c>
      <c r="D22">
        <v>700</v>
      </c>
      <c r="E22">
        <v>144</v>
      </c>
      <c r="F22">
        <f>D22-E22</f>
        <v>556</v>
      </c>
      <c r="G22" s="12">
        <f>(E22/D22)*100</f>
        <v>20.571428571428569</v>
      </c>
      <c r="H22">
        <v>4.0999999999999996</v>
      </c>
      <c r="I22">
        <v>2</v>
      </c>
      <c r="J22" t="str">
        <f>IF(AND(Data!F22&gt;400, Data!G22&lt;45), "HIGH", "NORMAL")</f>
        <v>HIGH</v>
      </c>
    </row>
    <row r="23" spans="1:10" x14ac:dyDescent="0.25">
      <c r="A23" s="5">
        <v>46052</v>
      </c>
      <c r="B23" s="5" t="str">
        <f>TEXT(A23,"mmm")</f>
        <v>Jan</v>
      </c>
      <c r="C23" t="s">
        <v>83</v>
      </c>
      <c r="D23">
        <v>700</v>
      </c>
      <c r="E23">
        <v>155</v>
      </c>
      <c r="F23">
        <f>D23-E23</f>
        <v>545</v>
      </c>
      <c r="G23" s="12">
        <f>(E23/D23)*100</f>
        <v>22.142857142857142</v>
      </c>
      <c r="H23">
        <v>1.5</v>
      </c>
      <c r="I23">
        <v>1</v>
      </c>
      <c r="J23" t="str">
        <f>IF(AND(Data!F23&gt;400, Data!G23&lt;45), "HIGH", "NORMAL")</f>
        <v>HIGH</v>
      </c>
    </row>
    <row r="24" spans="1:10" x14ac:dyDescent="0.25">
      <c r="A24" s="5">
        <v>46065</v>
      </c>
      <c r="B24" s="5" t="str">
        <f>TEXT(A24,"mmm")</f>
        <v>Feb</v>
      </c>
      <c r="C24" t="s">
        <v>26</v>
      </c>
      <c r="D24">
        <v>700</v>
      </c>
      <c r="E24">
        <v>174</v>
      </c>
      <c r="F24">
        <f>D24-E24</f>
        <v>526</v>
      </c>
      <c r="G24" s="12">
        <f>(E24/D24)*100</f>
        <v>24.857142857142858</v>
      </c>
      <c r="H24">
        <v>9.5</v>
      </c>
      <c r="I24">
        <v>6</v>
      </c>
      <c r="J24" t="str">
        <f>IF(AND(Data!F24&gt;400, Data!G24&lt;45), "HIGH", "NORMAL")</f>
        <v>HIGH</v>
      </c>
    </row>
    <row r="25" spans="1:10" x14ac:dyDescent="0.25">
      <c r="A25" s="5">
        <v>46023</v>
      </c>
      <c r="B25" s="5" t="str">
        <f>TEXT(A25,"mmm")</f>
        <v>Jan</v>
      </c>
      <c r="C25" t="s">
        <v>47</v>
      </c>
      <c r="D25">
        <v>700</v>
      </c>
      <c r="E25">
        <v>174</v>
      </c>
      <c r="F25">
        <f>D25-E25</f>
        <v>526</v>
      </c>
      <c r="G25" s="12">
        <f>(E25/D25)*100</f>
        <v>24.857142857142858</v>
      </c>
      <c r="H25">
        <v>11.3</v>
      </c>
      <c r="I25">
        <v>6</v>
      </c>
      <c r="J25" t="str">
        <f>IF(AND(Data!F25&gt;400, Data!G25&lt;45), "HIGH", "NORMAL")</f>
        <v>HIGH</v>
      </c>
    </row>
    <row r="26" spans="1:10" x14ac:dyDescent="0.25">
      <c r="A26" s="5">
        <v>46105</v>
      </c>
      <c r="B26" s="5" t="str">
        <f>TEXT(A26,"mmm")</f>
        <v>Mar</v>
      </c>
      <c r="C26" t="s">
        <v>77</v>
      </c>
      <c r="D26">
        <v>700</v>
      </c>
      <c r="E26">
        <v>174</v>
      </c>
      <c r="F26">
        <f>D26-E26</f>
        <v>526</v>
      </c>
      <c r="G26" s="12">
        <f>(E26/D26)*100</f>
        <v>24.857142857142858</v>
      </c>
      <c r="H26">
        <v>1.8</v>
      </c>
      <c r="I26">
        <v>1</v>
      </c>
      <c r="J26" t="str">
        <f>IF(AND(Data!F26&gt;400, Data!G26&lt;45), "HIGH", "NORMAL")</f>
        <v>HIGH</v>
      </c>
    </row>
    <row r="27" spans="1:10" x14ac:dyDescent="0.25">
      <c r="A27" s="5">
        <v>46059</v>
      </c>
      <c r="B27" s="5" t="str">
        <f>TEXT(A27,"mmm")</f>
        <v>Feb</v>
      </c>
      <c r="C27" t="s">
        <v>90</v>
      </c>
      <c r="D27">
        <v>700</v>
      </c>
      <c r="E27">
        <v>178</v>
      </c>
      <c r="F27">
        <f>D27-E27</f>
        <v>522</v>
      </c>
      <c r="G27" s="12">
        <f>(E27/D27)*100</f>
        <v>25.428571428571427</v>
      </c>
      <c r="H27">
        <v>1.9</v>
      </c>
      <c r="I27">
        <v>1</v>
      </c>
      <c r="J27" t="str">
        <f>IF(AND(Data!F27&gt;400, Data!G27&lt;45), "HIGH", "NORMAL")</f>
        <v>HIGH</v>
      </c>
    </row>
    <row r="28" spans="1:10" x14ac:dyDescent="0.25">
      <c r="A28" s="5">
        <v>46062</v>
      </c>
      <c r="B28" s="5" t="str">
        <f>TEXT(A28,"mmm")</f>
        <v>Feb</v>
      </c>
      <c r="C28" t="s">
        <v>93</v>
      </c>
      <c r="D28">
        <v>700</v>
      </c>
      <c r="E28">
        <v>196</v>
      </c>
      <c r="F28">
        <f>D28-E28</f>
        <v>504</v>
      </c>
      <c r="G28" s="12">
        <f>(E28/D28)*100</f>
        <v>28.000000000000004</v>
      </c>
      <c r="H28">
        <v>2.1</v>
      </c>
      <c r="I28">
        <v>1</v>
      </c>
      <c r="J28" t="str">
        <f>IF(AND(Data!F28&gt;400, Data!G28&lt;45), "HIGH", "NORMAL")</f>
        <v>HIGH</v>
      </c>
    </row>
    <row r="29" spans="1:10" x14ac:dyDescent="0.25">
      <c r="A29" s="5">
        <v>46060</v>
      </c>
      <c r="B29" s="5" t="str">
        <f>TEXT(A29,"mmm")</f>
        <v>Feb</v>
      </c>
      <c r="C29" t="s">
        <v>91</v>
      </c>
      <c r="D29">
        <v>700</v>
      </c>
      <c r="E29">
        <v>232</v>
      </c>
      <c r="F29">
        <f>D29-E29</f>
        <v>468</v>
      </c>
      <c r="G29" s="12">
        <f>(E29/D29)*100</f>
        <v>33.142857142857139</v>
      </c>
      <c r="H29">
        <v>0</v>
      </c>
      <c r="I29">
        <v>0</v>
      </c>
      <c r="J29" t="str">
        <f>IF(AND(Data!F29&gt;400, Data!G29&lt;45), "HIGH", "NORMAL")</f>
        <v>HIGH</v>
      </c>
    </row>
    <row r="30" spans="1:10" x14ac:dyDescent="0.25">
      <c r="A30" s="5">
        <v>46067</v>
      </c>
      <c r="B30" s="5" t="str">
        <f>TEXT(A30,"mmm")</f>
        <v>Feb</v>
      </c>
      <c r="C30" t="s">
        <v>98</v>
      </c>
      <c r="D30">
        <v>700</v>
      </c>
      <c r="E30">
        <v>236</v>
      </c>
      <c r="F30">
        <f>D30-E30</f>
        <v>464</v>
      </c>
      <c r="G30" s="12">
        <f>(E30/D30)*100</f>
        <v>33.714285714285715</v>
      </c>
      <c r="H30">
        <v>2</v>
      </c>
      <c r="I30">
        <v>1</v>
      </c>
      <c r="J30" t="str">
        <f>IF(AND(Data!F30&gt;400, Data!G30&lt;45), "HIGH", "NORMAL")</f>
        <v>HIGH</v>
      </c>
    </row>
    <row r="31" spans="1:10" x14ac:dyDescent="0.25">
      <c r="A31" s="5">
        <v>46069</v>
      </c>
      <c r="B31" s="5" t="str">
        <f>TEXT(A31,"mmm")</f>
        <v>Feb</v>
      </c>
      <c r="C31" t="s">
        <v>100</v>
      </c>
      <c r="D31">
        <v>700</v>
      </c>
      <c r="E31">
        <v>241</v>
      </c>
      <c r="F31">
        <f>D31-E31</f>
        <v>459</v>
      </c>
      <c r="G31" s="12">
        <f>(E31/D31)*100</f>
        <v>34.428571428571431</v>
      </c>
      <c r="H31">
        <v>2.1</v>
      </c>
      <c r="I31">
        <v>1</v>
      </c>
      <c r="J31" t="str">
        <f>IF(AND(Data!F31&gt;400, Data!G31&lt;45), "HIGH", "NORMAL")</f>
        <v>HIGH</v>
      </c>
    </row>
    <row r="32" spans="1:10" x14ac:dyDescent="0.25">
      <c r="A32" s="5">
        <v>46068</v>
      </c>
      <c r="B32" s="5" t="str">
        <f>TEXT(A32,"mmm")</f>
        <v>Feb</v>
      </c>
      <c r="C32" t="s">
        <v>99</v>
      </c>
      <c r="D32">
        <v>700</v>
      </c>
      <c r="E32">
        <v>244</v>
      </c>
      <c r="F32">
        <f>D32-E32</f>
        <v>456</v>
      </c>
      <c r="G32" s="12">
        <f>(E32/D32)*100</f>
        <v>34.857142857142861</v>
      </c>
      <c r="H32">
        <v>0</v>
      </c>
      <c r="I32">
        <v>0</v>
      </c>
      <c r="J32" t="str">
        <f>IF(AND(Data!F32&gt;400, Data!G32&lt;45), "HIGH", "NORMAL")</f>
        <v>HIGH</v>
      </c>
    </row>
    <row r="33" spans="1:10" x14ac:dyDescent="0.25">
      <c r="A33" s="5">
        <v>46074</v>
      </c>
      <c r="B33" s="5" t="str">
        <f>TEXT(A33,"mmm")</f>
        <v>Feb</v>
      </c>
      <c r="C33" t="s">
        <v>105</v>
      </c>
      <c r="D33">
        <v>700</v>
      </c>
      <c r="E33">
        <v>261</v>
      </c>
      <c r="F33">
        <f>D33-E33</f>
        <v>439</v>
      </c>
      <c r="G33" s="12">
        <f>(E33/D33)*100</f>
        <v>37.285714285714285</v>
      </c>
      <c r="H33">
        <v>2</v>
      </c>
      <c r="I33">
        <v>1</v>
      </c>
      <c r="J33" t="str">
        <f>IF(AND(Data!F33&gt;400, Data!G33&lt;45), "HIGH", "NORMAL")</f>
        <v>HIGH</v>
      </c>
    </row>
    <row r="34" spans="1:10" x14ac:dyDescent="0.25">
      <c r="A34" s="5">
        <v>46063</v>
      </c>
      <c r="B34" s="5" t="str">
        <f>TEXT(A34,"mmm")</f>
        <v>Feb</v>
      </c>
      <c r="C34" t="s">
        <v>94</v>
      </c>
      <c r="D34">
        <v>700</v>
      </c>
      <c r="E34">
        <v>265</v>
      </c>
      <c r="F34">
        <f>D34-E34</f>
        <v>435</v>
      </c>
      <c r="G34" s="12">
        <f>(E34/D34)*100</f>
        <v>37.857142857142854</v>
      </c>
      <c r="H34">
        <v>4.0999999999999996</v>
      </c>
      <c r="I34">
        <v>2</v>
      </c>
      <c r="J34" t="str">
        <f>IF(AND(Data!F34&gt;400, Data!G34&lt;45), "HIGH", "NORMAL")</f>
        <v>HIGH</v>
      </c>
    </row>
    <row r="35" spans="1:10" x14ac:dyDescent="0.25">
      <c r="A35" s="5">
        <v>46056</v>
      </c>
      <c r="B35" s="5" t="str">
        <f>TEXT(A35,"mmm")</f>
        <v>Feb</v>
      </c>
      <c r="C35" t="s">
        <v>87</v>
      </c>
      <c r="D35">
        <v>700</v>
      </c>
      <c r="E35">
        <v>267</v>
      </c>
      <c r="F35">
        <f>D35-E35</f>
        <v>433</v>
      </c>
      <c r="G35" s="12">
        <f>(E35/D35)*100</f>
        <v>38.142857142857146</v>
      </c>
      <c r="H35">
        <v>2.1</v>
      </c>
      <c r="I35">
        <v>1</v>
      </c>
      <c r="J35" t="str">
        <f>IF(AND(Data!F35&gt;400, Data!G35&lt;45), "HIGH", "NORMAL")</f>
        <v>HIGH</v>
      </c>
    </row>
    <row r="36" spans="1:10" x14ac:dyDescent="0.25">
      <c r="A36" s="5">
        <v>46058</v>
      </c>
      <c r="B36" s="5" t="str">
        <f>TEXT(A36,"mmm")</f>
        <v>Feb</v>
      </c>
      <c r="C36" t="s">
        <v>89</v>
      </c>
      <c r="D36">
        <v>700</v>
      </c>
      <c r="E36">
        <v>267</v>
      </c>
      <c r="F36">
        <f>D36-E36</f>
        <v>433</v>
      </c>
      <c r="G36" s="12">
        <f>(E36/D36)*100</f>
        <v>38.142857142857146</v>
      </c>
      <c r="H36">
        <v>4.5</v>
      </c>
      <c r="I36">
        <v>2</v>
      </c>
      <c r="J36" t="str">
        <f>IF(AND(Data!F36&gt;400, Data!G36&lt;45), "HIGH", "NORMAL")</f>
        <v>HIGH</v>
      </c>
    </row>
    <row r="37" spans="1:10" x14ac:dyDescent="0.25">
      <c r="A37" s="5">
        <v>46110</v>
      </c>
      <c r="B37" s="5" t="str">
        <f>TEXT(A37,"mmm")</f>
        <v>Mar</v>
      </c>
      <c r="C37" t="s">
        <v>82</v>
      </c>
      <c r="D37">
        <v>700</v>
      </c>
      <c r="E37">
        <v>268</v>
      </c>
      <c r="F37">
        <f>D37-E37</f>
        <v>432</v>
      </c>
      <c r="G37" s="12">
        <f>(E37/D37)*100</f>
        <v>38.285714285714285</v>
      </c>
      <c r="H37">
        <v>4.2</v>
      </c>
      <c r="I37">
        <v>2</v>
      </c>
      <c r="J37" t="str">
        <f>IF(AND(Data!F37&gt;400, Data!G37&lt;45), "HIGH", "NORMAL")</f>
        <v>HIGH</v>
      </c>
    </row>
    <row r="38" spans="1:10" x14ac:dyDescent="0.25">
      <c r="A38" s="5">
        <v>46067</v>
      </c>
      <c r="B38" s="5" t="str">
        <f>TEXT(A38,"mmm")</f>
        <v>Feb</v>
      </c>
      <c r="C38" t="s">
        <v>28</v>
      </c>
      <c r="D38">
        <v>700</v>
      </c>
      <c r="E38">
        <v>276</v>
      </c>
      <c r="F38">
        <f>D38-E38</f>
        <v>424</v>
      </c>
      <c r="G38" s="12">
        <f>(E38/D38)*100</f>
        <v>39.428571428571431</v>
      </c>
      <c r="H38">
        <v>10.8</v>
      </c>
      <c r="I38">
        <v>7</v>
      </c>
      <c r="J38" t="str">
        <f>IF(AND(Data!F38&gt;400, Data!G38&lt;45), "HIGH", "NORMAL")</f>
        <v>HIGH</v>
      </c>
    </row>
    <row r="39" spans="1:10" x14ac:dyDescent="0.25">
      <c r="A39" s="5">
        <v>46023</v>
      </c>
      <c r="B39" s="5" t="str">
        <f>TEXT(A39,"mmm")</f>
        <v>Jan</v>
      </c>
      <c r="C39" t="s">
        <v>49</v>
      </c>
      <c r="D39">
        <v>700</v>
      </c>
      <c r="E39">
        <v>276</v>
      </c>
      <c r="F39">
        <f>D39-E39</f>
        <v>424</v>
      </c>
      <c r="G39" s="12">
        <f>(E39/D39)*100</f>
        <v>39.428571428571431</v>
      </c>
      <c r="H39">
        <v>15.3</v>
      </c>
      <c r="I39">
        <v>7</v>
      </c>
      <c r="J39" t="str">
        <f>IF(AND(Data!F39&gt;400, Data!G39&lt;45), "HIGH", "NORMAL")</f>
        <v>HIGH</v>
      </c>
    </row>
    <row r="40" spans="1:10" x14ac:dyDescent="0.25">
      <c r="A40" s="5">
        <v>46107</v>
      </c>
      <c r="B40" s="5" t="str">
        <f>TEXT(A40,"mmm")</f>
        <v>Mar</v>
      </c>
      <c r="C40" t="s">
        <v>79</v>
      </c>
      <c r="D40">
        <v>700</v>
      </c>
      <c r="E40">
        <v>276</v>
      </c>
      <c r="F40">
        <f>D40-E40</f>
        <v>424</v>
      </c>
      <c r="G40" s="12">
        <f>(E40/D40)*100</f>
        <v>39.428571428571431</v>
      </c>
      <c r="H40">
        <v>2.2999999999999998</v>
      </c>
      <c r="I40">
        <v>1</v>
      </c>
      <c r="J40" t="str">
        <f>IF(AND(Data!F40&gt;400, Data!G40&lt;45), "HIGH", "NORMAL")</f>
        <v>HIGH</v>
      </c>
    </row>
    <row r="41" spans="1:10" x14ac:dyDescent="0.25">
      <c r="A41" s="5">
        <v>46070</v>
      </c>
      <c r="B41" s="5" t="str">
        <f>TEXT(A41,"mmm")</f>
        <v>Feb</v>
      </c>
      <c r="C41" t="s">
        <v>101</v>
      </c>
      <c r="D41">
        <v>700</v>
      </c>
      <c r="E41">
        <v>281</v>
      </c>
      <c r="F41">
        <f>D41-E41</f>
        <v>419</v>
      </c>
      <c r="G41" s="12">
        <f>(E41/D41)*100</f>
        <v>40.142857142857139</v>
      </c>
      <c r="H41">
        <v>0</v>
      </c>
      <c r="I41">
        <v>0</v>
      </c>
      <c r="J41" t="str">
        <f>IF(AND(Data!F41&gt;400, Data!G41&lt;45), "HIGH", "NORMAL")</f>
        <v>HIGH</v>
      </c>
    </row>
    <row r="42" spans="1:10" x14ac:dyDescent="0.25">
      <c r="A42" s="5">
        <v>46102</v>
      </c>
      <c r="B42" s="5" t="str">
        <f>TEXT(A42,"mmm")</f>
        <v>Mar</v>
      </c>
      <c r="C42" t="s">
        <v>74</v>
      </c>
      <c r="D42">
        <v>700</v>
      </c>
      <c r="E42">
        <v>421</v>
      </c>
      <c r="F42">
        <f>D42-E42</f>
        <v>279</v>
      </c>
      <c r="G42" s="12">
        <f>(E42/D42)*100</f>
        <v>60.142857142857139</v>
      </c>
      <c r="H42">
        <v>10.7</v>
      </c>
      <c r="I42">
        <v>5</v>
      </c>
      <c r="J42" t="str">
        <f>IF(AND(Data!F42&gt;400, Data!G42&lt;45), "HIGH", "NORMAL")</f>
        <v>NORMAL</v>
      </c>
    </row>
    <row r="43" spans="1:10" x14ac:dyDescent="0.25">
      <c r="A43" s="5">
        <v>46023</v>
      </c>
      <c r="B43" s="5" t="str">
        <f>TEXT(A43,"mmm")</f>
        <v>Jan</v>
      </c>
      <c r="C43" t="s">
        <v>51</v>
      </c>
      <c r="D43">
        <v>700</v>
      </c>
      <c r="E43">
        <v>423</v>
      </c>
      <c r="F43">
        <f>D43-E43</f>
        <v>277</v>
      </c>
      <c r="G43" s="12">
        <f>(E43/D43)*100</f>
        <v>60.428571428571431</v>
      </c>
      <c r="H43">
        <v>6.2</v>
      </c>
      <c r="I43">
        <v>3</v>
      </c>
      <c r="J43" t="str">
        <f>IF(AND(Data!F43&gt;400, Data!G43&lt;45), "HIGH", "NORMAL")</f>
        <v>NORMAL</v>
      </c>
    </row>
    <row r="44" spans="1:10" x14ac:dyDescent="0.25">
      <c r="A44" s="5">
        <v>46063</v>
      </c>
      <c r="B44" s="5" t="str">
        <f>TEXT(A44,"mmm")</f>
        <v>Feb</v>
      </c>
      <c r="C44" t="s">
        <v>24</v>
      </c>
      <c r="D44">
        <v>700</v>
      </c>
      <c r="E44">
        <v>424</v>
      </c>
      <c r="F44">
        <f>D44-E44</f>
        <v>276</v>
      </c>
      <c r="G44" s="12">
        <f>(E44/D44)*100</f>
        <v>60.571428571428577</v>
      </c>
      <c r="H44">
        <v>14.3</v>
      </c>
      <c r="I44">
        <v>7</v>
      </c>
      <c r="J44" t="str">
        <f>IF(AND(Data!F44&gt;400, Data!G44&lt;45), "HIGH", "NORMAL")</f>
        <v>NORMAL</v>
      </c>
    </row>
    <row r="45" spans="1:10" x14ac:dyDescent="0.25">
      <c r="A45" s="5">
        <v>46023</v>
      </c>
      <c r="B45" s="5" t="str">
        <f>TEXT(A45,"mmm")</f>
        <v>Jan</v>
      </c>
      <c r="C45" t="s">
        <v>45</v>
      </c>
      <c r="D45">
        <v>700</v>
      </c>
      <c r="E45">
        <v>424</v>
      </c>
      <c r="F45">
        <f>D45-E45</f>
        <v>276</v>
      </c>
      <c r="G45" s="12">
        <f>(E45/D45)*100</f>
        <v>60.571428571428577</v>
      </c>
      <c r="H45">
        <v>13.3</v>
      </c>
      <c r="I45">
        <v>6</v>
      </c>
      <c r="J45" t="str">
        <f>IF(AND(Data!F45&gt;400, Data!G45&lt;45), "HIGH", "NORMAL")</f>
        <v>NORMAL</v>
      </c>
    </row>
    <row r="46" spans="1:10" x14ac:dyDescent="0.25">
      <c r="A46" s="5">
        <v>46097</v>
      </c>
      <c r="B46" s="5" t="str">
        <f>TEXT(A46,"mmm")</f>
        <v>Mar</v>
      </c>
      <c r="C46" t="s">
        <v>70</v>
      </c>
      <c r="D46">
        <v>700</v>
      </c>
      <c r="E46">
        <v>424</v>
      </c>
      <c r="F46">
        <f>D46-E46</f>
        <v>276</v>
      </c>
      <c r="G46" s="12">
        <f>(E46/D46)*100</f>
        <v>60.571428571428577</v>
      </c>
      <c r="H46">
        <v>5.6</v>
      </c>
      <c r="I46">
        <v>3</v>
      </c>
      <c r="J46" t="str">
        <f>IF(AND(Data!F46&gt;400, Data!G46&lt;45), "HIGH", "NORMAL")</f>
        <v>NORMAL</v>
      </c>
    </row>
    <row r="47" spans="1:10" x14ac:dyDescent="0.25">
      <c r="A47" s="5">
        <v>46087</v>
      </c>
      <c r="B47" s="5" t="str">
        <f>TEXT(A47,"mmm")</f>
        <v>Mar</v>
      </c>
      <c r="C47" t="s">
        <v>61</v>
      </c>
      <c r="D47">
        <v>700</v>
      </c>
      <c r="E47">
        <v>437</v>
      </c>
      <c r="F47">
        <f>D47-E47</f>
        <v>263</v>
      </c>
      <c r="G47" s="12">
        <f>(E47/D47)*100</f>
        <v>62.428571428571431</v>
      </c>
      <c r="H47">
        <v>4.5</v>
      </c>
      <c r="I47">
        <v>3</v>
      </c>
      <c r="J47" t="str">
        <f>IF(AND(Data!F47&gt;400, Data!G47&lt;45), "HIGH", "NORMAL")</f>
        <v>NORMAL</v>
      </c>
    </row>
    <row r="48" spans="1:10" x14ac:dyDescent="0.25">
      <c r="A48" s="5">
        <v>46064</v>
      </c>
      <c r="B48" s="5" t="str">
        <f>TEXT(A48,"mmm")</f>
        <v>Feb</v>
      </c>
      <c r="C48" t="s">
        <v>25</v>
      </c>
      <c r="D48">
        <v>700</v>
      </c>
      <c r="E48">
        <v>439</v>
      </c>
      <c r="F48">
        <f>D48-E48</f>
        <v>261</v>
      </c>
      <c r="G48" s="12">
        <f>(E48/D48)*100</f>
        <v>62.714285714285708</v>
      </c>
      <c r="H48">
        <v>11.8</v>
      </c>
      <c r="I48">
        <v>6</v>
      </c>
      <c r="J48" t="str">
        <f>IF(AND(Data!F48&gt;400, Data!G48&lt;45), "HIGH", "NORMAL")</f>
        <v>NORMAL</v>
      </c>
    </row>
    <row r="49" spans="1:10" x14ac:dyDescent="0.25">
      <c r="A49" s="5">
        <v>46023</v>
      </c>
      <c r="B49" s="5" t="str">
        <f>TEXT(A49,"mmm")</f>
        <v>Jan</v>
      </c>
      <c r="C49" t="s">
        <v>46</v>
      </c>
      <c r="D49">
        <v>700</v>
      </c>
      <c r="E49">
        <v>439</v>
      </c>
      <c r="F49">
        <f>D49-E49</f>
        <v>261</v>
      </c>
      <c r="G49" s="12">
        <f>(E49/D49)*100</f>
        <v>62.714285714285708</v>
      </c>
      <c r="H49">
        <v>12.3</v>
      </c>
      <c r="I49">
        <v>6</v>
      </c>
      <c r="J49" t="str">
        <f>IF(AND(Data!F49&gt;400, Data!G49&lt;45), "HIGH", "NORMAL")</f>
        <v>NORMAL</v>
      </c>
    </row>
    <row r="50" spans="1:10" x14ac:dyDescent="0.25">
      <c r="A50" s="5">
        <v>46104</v>
      </c>
      <c r="B50" s="5" t="str">
        <f>TEXT(A50,"mmm")</f>
        <v>Mar</v>
      </c>
      <c r="C50" t="s">
        <v>76</v>
      </c>
      <c r="D50">
        <v>700</v>
      </c>
      <c r="E50">
        <v>439</v>
      </c>
      <c r="F50">
        <f>D50-E50</f>
        <v>261</v>
      </c>
      <c r="G50" s="12">
        <f>(E50/D50)*100</f>
        <v>62.714285714285708</v>
      </c>
      <c r="H50">
        <v>9.4</v>
      </c>
      <c r="I50">
        <v>5</v>
      </c>
      <c r="J50" t="str">
        <f>IF(AND(Data!F50&gt;400, Data!G50&lt;45), "HIGH", "NORMAL")</f>
        <v>NORMAL</v>
      </c>
    </row>
    <row r="51" spans="1:10" x14ac:dyDescent="0.25">
      <c r="A51" s="5">
        <v>46090</v>
      </c>
      <c r="B51" s="5" t="str">
        <f>TEXT(A51,"mmm")</f>
        <v>Mar</v>
      </c>
      <c r="C51" t="s">
        <v>64</v>
      </c>
      <c r="D51">
        <v>700</v>
      </c>
      <c r="E51">
        <v>446</v>
      </c>
      <c r="F51">
        <f>D51-E51</f>
        <v>254</v>
      </c>
      <c r="G51" s="12">
        <f>(E51/D51)*100</f>
        <v>63.714285714285715</v>
      </c>
      <c r="H51">
        <v>5.2</v>
      </c>
      <c r="I51">
        <v>3</v>
      </c>
      <c r="J51" t="str">
        <f>IF(AND(Data!F51&gt;400, Data!G51&lt;45), "HIGH", "NORMAL")</f>
        <v>NORMAL</v>
      </c>
    </row>
    <row r="52" spans="1:10" x14ac:dyDescent="0.25">
      <c r="A52" s="5">
        <v>46100</v>
      </c>
      <c r="B52" s="5" t="str">
        <f>TEXT(A52,"mmm")</f>
        <v>Mar</v>
      </c>
      <c r="C52" t="s">
        <v>72</v>
      </c>
      <c r="D52">
        <v>700</v>
      </c>
      <c r="E52">
        <v>448</v>
      </c>
      <c r="F52">
        <f>D52-E52</f>
        <v>252</v>
      </c>
      <c r="G52" s="12">
        <f>(E52/D52)*100</f>
        <v>64</v>
      </c>
      <c r="H52">
        <v>6.3</v>
      </c>
      <c r="I52">
        <v>3</v>
      </c>
      <c r="J52" t="str">
        <f>IF(AND(Data!F52&gt;400, Data!G52&lt;45), "HIGH", "NORMAL")</f>
        <v>NORMAL</v>
      </c>
    </row>
    <row r="53" spans="1:10" x14ac:dyDescent="0.25">
      <c r="A53" s="5">
        <v>46101</v>
      </c>
      <c r="B53" s="5" t="str">
        <f>TEXT(A53,"mmm")</f>
        <v>Mar</v>
      </c>
      <c r="C53" t="s">
        <v>73</v>
      </c>
      <c r="D53">
        <v>700</v>
      </c>
      <c r="E53">
        <v>448</v>
      </c>
      <c r="F53">
        <f>D53-E53</f>
        <v>252</v>
      </c>
      <c r="G53" s="12">
        <f>(E53/D53)*100</f>
        <v>64</v>
      </c>
      <c r="H53">
        <v>8.1</v>
      </c>
      <c r="I53">
        <v>4</v>
      </c>
      <c r="J53" t="str">
        <f>IF(AND(Data!F53&gt;400, Data!G53&lt;45), "HIGH", "NORMAL")</f>
        <v>NORMAL</v>
      </c>
    </row>
    <row r="54" spans="1:10" x14ac:dyDescent="0.25">
      <c r="A54" s="5">
        <v>46055</v>
      </c>
      <c r="B54" s="5" t="str">
        <f>TEXT(A54,"mmm")</f>
        <v>Feb</v>
      </c>
      <c r="C54" t="s">
        <v>16</v>
      </c>
      <c r="D54">
        <v>700</v>
      </c>
      <c r="E54">
        <v>487</v>
      </c>
      <c r="F54">
        <f>D54-E54</f>
        <v>213</v>
      </c>
      <c r="G54" s="12">
        <f>(E54/D54)*100</f>
        <v>69.571428571428569</v>
      </c>
      <c r="H54">
        <v>13</v>
      </c>
      <c r="I54">
        <v>6</v>
      </c>
      <c r="J54" t="str">
        <f>IF(AND(Data!F54&gt;400, Data!G54&lt;45), "HIGH", "NORMAL")</f>
        <v>NORMAL</v>
      </c>
    </row>
    <row r="55" spans="1:10" x14ac:dyDescent="0.25">
      <c r="A55" s="5">
        <v>46078</v>
      </c>
      <c r="B55" s="5" t="str">
        <f>TEXT(A55,"mmm")</f>
        <v>Feb</v>
      </c>
      <c r="C55" t="s">
        <v>38</v>
      </c>
      <c r="D55">
        <v>700</v>
      </c>
      <c r="E55">
        <v>487</v>
      </c>
      <c r="F55">
        <f>D55-E55</f>
        <v>213</v>
      </c>
      <c r="G55" s="12">
        <f>(E55/D55)*100</f>
        <v>69.571428571428569</v>
      </c>
      <c r="H55">
        <v>15.9</v>
      </c>
      <c r="I55">
        <v>7</v>
      </c>
      <c r="J55" t="str">
        <f>IF(AND(Data!F55&gt;400, Data!G55&lt;45), "HIGH", "NORMAL")</f>
        <v>NORMAL</v>
      </c>
    </row>
    <row r="56" spans="1:10" x14ac:dyDescent="0.25">
      <c r="A56" s="5">
        <v>46084</v>
      </c>
      <c r="B56" s="5" t="str">
        <f>TEXT(A56,"mmm")</f>
        <v>Mar</v>
      </c>
      <c r="C56" t="s">
        <v>58</v>
      </c>
      <c r="D56">
        <v>700</v>
      </c>
      <c r="E56">
        <v>487</v>
      </c>
      <c r="F56">
        <f>D56-E56</f>
        <v>213</v>
      </c>
      <c r="G56" s="12">
        <f>(E56/D56)*100</f>
        <v>69.571428571428569</v>
      </c>
      <c r="H56">
        <v>11</v>
      </c>
      <c r="I56">
        <v>5</v>
      </c>
      <c r="J56" t="str">
        <f>IF(AND(Data!F56&gt;400, Data!G56&lt;45), "HIGH", "NORMAL")</f>
        <v>NORMAL</v>
      </c>
    </row>
    <row r="57" spans="1:10" x14ac:dyDescent="0.25">
      <c r="A57" s="5">
        <v>46069</v>
      </c>
      <c r="B57" s="5" t="str">
        <f>TEXT(A57,"mmm")</f>
        <v>Feb</v>
      </c>
      <c r="C57" t="s">
        <v>12</v>
      </c>
      <c r="D57">
        <v>700</v>
      </c>
      <c r="E57">
        <v>492</v>
      </c>
      <c r="F57">
        <f>D57-E57</f>
        <v>208</v>
      </c>
      <c r="G57" s="12">
        <f>(E57/D57)*100</f>
        <v>70.285714285714278</v>
      </c>
      <c r="H57">
        <v>13.4</v>
      </c>
      <c r="I57">
        <v>7</v>
      </c>
      <c r="J57" t="str">
        <f>IF(AND(Data!F57&gt;400, Data!G57&lt;45), "HIGH", "NORMAL")</f>
        <v>NORMAL</v>
      </c>
    </row>
    <row r="58" spans="1:10" x14ac:dyDescent="0.25">
      <c r="A58" s="5">
        <v>46074</v>
      </c>
      <c r="B58" s="5" t="str">
        <f>TEXT(A58,"mmm")</f>
        <v>Feb</v>
      </c>
      <c r="C58" t="s">
        <v>34</v>
      </c>
      <c r="D58">
        <v>700</v>
      </c>
      <c r="E58">
        <v>492</v>
      </c>
      <c r="F58">
        <f>D58-E58</f>
        <v>208</v>
      </c>
      <c r="G58" s="12">
        <f>(E58/D58)*100</f>
        <v>70.285714285714278</v>
      </c>
      <c r="H58">
        <v>14.4</v>
      </c>
      <c r="I58">
        <v>7</v>
      </c>
      <c r="J58" t="str">
        <f>IF(AND(Data!F58&gt;400, Data!G58&lt;45), "HIGH", "NORMAL")</f>
        <v>NORMAL</v>
      </c>
    </row>
    <row r="59" spans="1:10" x14ac:dyDescent="0.25">
      <c r="A59" s="5">
        <v>46023</v>
      </c>
      <c r="B59" s="5" t="str">
        <f>TEXT(A59,"mmm")</f>
        <v>Jan</v>
      </c>
      <c r="C59" t="s">
        <v>54</v>
      </c>
      <c r="D59">
        <v>700</v>
      </c>
      <c r="E59">
        <v>492</v>
      </c>
      <c r="F59">
        <f>D59-E59</f>
        <v>208</v>
      </c>
      <c r="G59" s="12">
        <f>(E59/D59)*100</f>
        <v>70.285714285714278</v>
      </c>
      <c r="H59">
        <v>5.9</v>
      </c>
      <c r="I59">
        <v>3</v>
      </c>
      <c r="J59" t="str">
        <f>IF(AND(Data!F59&gt;400, Data!G59&lt;45), "HIGH", "NORMAL")</f>
        <v>NORMAL</v>
      </c>
    </row>
    <row r="60" spans="1:10" x14ac:dyDescent="0.25">
      <c r="A60" s="5">
        <v>46062</v>
      </c>
      <c r="B60" s="5" t="str">
        <f>TEXT(A60,"mmm")</f>
        <v>Feb</v>
      </c>
      <c r="C60" t="s">
        <v>23</v>
      </c>
      <c r="D60">
        <v>700</v>
      </c>
      <c r="E60">
        <v>501</v>
      </c>
      <c r="F60">
        <f>D60-E60</f>
        <v>199</v>
      </c>
      <c r="G60" s="12">
        <f>(E60/D60)*100</f>
        <v>71.571428571428569</v>
      </c>
      <c r="H60">
        <v>14.7</v>
      </c>
      <c r="I60">
        <v>7</v>
      </c>
      <c r="J60" t="str">
        <f>IF(AND(Data!F60&gt;400, Data!G60&lt;45), "HIGH", "NORMAL")</f>
        <v>NORMAL</v>
      </c>
    </row>
    <row r="61" spans="1:10" x14ac:dyDescent="0.25">
      <c r="A61" s="5">
        <v>46023</v>
      </c>
      <c r="B61" s="5" t="str">
        <f>TEXT(A61,"mmm")</f>
        <v>Jan</v>
      </c>
      <c r="C61" t="s">
        <v>44</v>
      </c>
      <c r="D61">
        <v>700</v>
      </c>
      <c r="E61">
        <v>501</v>
      </c>
      <c r="F61">
        <f>D61-E61</f>
        <v>199</v>
      </c>
      <c r="G61" s="12">
        <f>(E61/D61)*100</f>
        <v>71.571428571428569</v>
      </c>
      <c r="H61">
        <v>14.8</v>
      </c>
      <c r="I61">
        <v>7</v>
      </c>
      <c r="J61" t="str">
        <f>IF(AND(Data!F61&gt;400, Data!G61&lt;45), "HIGH", "NORMAL")</f>
        <v>NORMAL</v>
      </c>
    </row>
    <row r="62" spans="1:10" x14ac:dyDescent="0.25">
      <c r="A62" s="5">
        <v>46096</v>
      </c>
      <c r="B62" s="5" t="str">
        <f>TEXT(A62,"mmm")</f>
        <v>Mar</v>
      </c>
      <c r="C62" t="s">
        <v>69</v>
      </c>
      <c r="D62">
        <v>700</v>
      </c>
      <c r="E62">
        <v>501</v>
      </c>
      <c r="F62">
        <f>D62-E62</f>
        <v>199</v>
      </c>
      <c r="G62" s="12">
        <f>(E62/D62)*100</f>
        <v>71.571428571428569</v>
      </c>
      <c r="H62">
        <v>6.7</v>
      </c>
      <c r="I62">
        <v>4</v>
      </c>
      <c r="J62" t="str">
        <f>IF(AND(Data!F62&gt;400, Data!G62&lt;45), "HIGH", "NORMAL")</f>
        <v>NORMAL</v>
      </c>
    </row>
    <row r="63" spans="1:10" x14ac:dyDescent="0.25">
      <c r="A63" s="5">
        <v>46023</v>
      </c>
      <c r="B63" s="5" t="str">
        <f>TEXT(A63,"mmm")</f>
        <v>Jan</v>
      </c>
      <c r="C63" t="s">
        <v>53</v>
      </c>
      <c r="D63">
        <v>700</v>
      </c>
      <c r="E63">
        <v>533</v>
      </c>
      <c r="F63">
        <f>D63-E63</f>
        <v>167</v>
      </c>
      <c r="G63" s="12">
        <f>(E63/D63)*100</f>
        <v>76.142857142857139</v>
      </c>
      <c r="H63">
        <v>6.2</v>
      </c>
      <c r="I63">
        <v>3</v>
      </c>
      <c r="J63" t="str">
        <f>IF(AND(Data!F63&gt;400, Data!G63&lt;45), "HIGH", "NORMAL")</f>
        <v>NORMAL</v>
      </c>
    </row>
    <row r="64" spans="1:10" x14ac:dyDescent="0.25">
      <c r="A64" s="5">
        <v>46023</v>
      </c>
      <c r="B64" s="5" t="str">
        <f>TEXT(A64,"mmm")</f>
        <v>Jan</v>
      </c>
      <c r="C64" t="s">
        <v>52</v>
      </c>
      <c r="D64">
        <v>700</v>
      </c>
      <c r="E64">
        <v>535</v>
      </c>
      <c r="F64">
        <f>D64-E64</f>
        <v>165</v>
      </c>
      <c r="G64" s="12">
        <f>(E64/D64)*100</f>
        <v>76.428571428571416</v>
      </c>
      <c r="H64">
        <v>9.1</v>
      </c>
      <c r="I64">
        <v>4</v>
      </c>
      <c r="J64" t="str">
        <f>IF(AND(Data!F64&gt;400, Data!G64&lt;45), "HIGH", "NORMAL")</f>
        <v>NORMAL</v>
      </c>
    </row>
    <row r="65" spans="1:10" x14ac:dyDescent="0.25">
      <c r="A65" s="5">
        <v>46089</v>
      </c>
      <c r="B65" s="5" t="str">
        <f>TEXT(A65,"mmm")</f>
        <v>Mar</v>
      </c>
      <c r="C65" t="s">
        <v>63</v>
      </c>
      <c r="D65">
        <v>700</v>
      </c>
      <c r="E65">
        <v>541</v>
      </c>
      <c r="F65">
        <f>D65-E65</f>
        <v>159</v>
      </c>
      <c r="G65" s="12">
        <f>(E65/D65)*100</f>
        <v>77.285714285714292</v>
      </c>
      <c r="H65">
        <v>4.9000000000000004</v>
      </c>
      <c r="I65">
        <v>3</v>
      </c>
      <c r="J65" t="str">
        <f>IF(AND(Data!F65&gt;400, Data!G65&lt;45), "HIGH", "NORMAL")</f>
        <v>NORMAL</v>
      </c>
    </row>
    <row r="66" spans="1:10" x14ac:dyDescent="0.25">
      <c r="A66" s="5">
        <v>46088</v>
      </c>
      <c r="B66" s="5" t="str">
        <f>TEXT(A66,"mmm")</f>
        <v>Mar</v>
      </c>
      <c r="C66" t="s">
        <v>62</v>
      </c>
      <c r="D66">
        <v>700</v>
      </c>
      <c r="E66">
        <v>548</v>
      </c>
      <c r="F66">
        <f>D66-E66</f>
        <v>152</v>
      </c>
      <c r="G66" s="12">
        <f>(E66/D66)*100</f>
        <v>78.285714285714278</v>
      </c>
      <c r="H66">
        <v>6.7</v>
      </c>
      <c r="I66">
        <v>4</v>
      </c>
      <c r="J66" t="str">
        <f>IF(AND(Data!F66&gt;400, Data!G66&lt;45), "HIGH", "NORMAL")</f>
        <v>NORMAL</v>
      </c>
    </row>
    <row r="67" spans="1:10" x14ac:dyDescent="0.25">
      <c r="A67" s="5">
        <v>46059</v>
      </c>
      <c r="B67" s="5" t="str">
        <f>TEXT(A67,"mmm")</f>
        <v>Feb</v>
      </c>
      <c r="C67" t="s">
        <v>20</v>
      </c>
      <c r="D67">
        <v>700</v>
      </c>
      <c r="E67">
        <v>550</v>
      </c>
      <c r="F67">
        <f>D67-E67</f>
        <v>150</v>
      </c>
      <c r="G67" s="12">
        <f>(E67/D67)*100</f>
        <v>78.571428571428569</v>
      </c>
      <c r="H67">
        <v>13.1</v>
      </c>
      <c r="I67">
        <v>7</v>
      </c>
      <c r="J67" t="str">
        <f>IF(AND(Data!F67&gt;400, Data!G67&lt;45), "HIGH", "NORMAL")</f>
        <v>NORMAL</v>
      </c>
    </row>
    <row r="68" spans="1:10" x14ac:dyDescent="0.25">
      <c r="A68" s="5">
        <v>46023</v>
      </c>
      <c r="B68" s="5" t="str">
        <f>TEXT(A68,"mmm")</f>
        <v>Jan</v>
      </c>
      <c r="C68" t="s">
        <v>42</v>
      </c>
      <c r="D68">
        <v>700</v>
      </c>
      <c r="E68">
        <v>550</v>
      </c>
      <c r="F68">
        <f>D68-E68</f>
        <v>150</v>
      </c>
      <c r="G68" s="12">
        <f>(E68/D68)*100</f>
        <v>78.571428571428569</v>
      </c>
      <c r="H68">
        <v>9.5</v>
      </c>
      <c r="I68">
        <v>6</v>
      </c>
      <c r="J68" t="str">
        <f>IF(AND(Data!F68&gt;400, Data!G68&lt;45), "HIGH", "NORMAL")</f>
        <v>NORMAL</v>
      </c>
    </row>
    <row r="69" spans="1:10" x14ac:dyDescent="0.25">
      <c r="A69" s="5">
        <v>46093</v>
      </c>
      <c r="B69" s="5" t="str">
        <f>TEXT(A69,"mmm")</f>
        <v>Mar</v>
      </c>
      <c r="C69" t="s">
        <v>67</v>
      </c>
      <c r="D69">
        <v>700</v>
      </c>
      <c r="E69">
        <v>550</v>
      </c>
      <c r="F69">
        <f>D69-E69</f>
        <v>150</v>
      </c>
      <c r="G69" s="12">
        <f>(E69/D69)*100</f>
        <v>78.571428571428569</v>
      </c>
      <c r="H69">
        <v>4.5999999999999996</v>
      </c>
      <c r="I69">
        <v>3</v>
      </c>
      <c r="J69" t="str">
        <f>IF(AND(Data!F69&gt;400, Data!G69&lt;45), "HIGH", "NORMAL")</f>
        <v>NORMAL</v>
      </c>
    </row>
    <row r="70" spans="1:10" x14ac:dyDescent="0.25">
      <c r="A70" s="5">
        <v>46071</v>
      </c>
      <c r="B70" s="5" t="str">
        <f>TEXT(A70,"mmm")</f>
        <v>Feb</v>
      </c>
      <c r="C70" t="s">
        <v>14</v>
      </c>
      <c r="D70">
        <v>700</v>
      </c>
      <c r="E70">
        <v>558</v>
      </c>
      <c r="F70">
        <f>D70-E70</f>
        <v>142</v>
      </c>
      <c r="G70" s="12">
        <f>(E70/D70)*100</f>
        <v>79.714285714285722</v>
      </c>
      <c r="H70">
        <v>10.7</v>
      </c>
      <c r="I70">
        <v>6</v>
      </c>
      <c r="J70" t="str">
        <f>IF(AND(Data!F70&gt;400, Data!G70&lt;45), "HIGH", "NORMAL")</f>
        <v>NORMAL</v>
      </c>
    </row>
    <row r="71" spans="1:10" x14ac:dyDescent="0.25">
      <c r="A71" s="5">
        <v>46076</v>
      </c>
      <c r="B71" s="5" t="str">
        <f>TEXT(A71,"mmm")</f>
        <v>Feb</v>
      </c>
      <c r="C71" t="s">
        <v>36</v>
      </c>
      <c r="D71">
        <v>700</v>
      </c>
      <c r="E71">
        <v>558</v>
      </c>
      <c r="F71">
        <f>D71-E71</f>
        <v>142</v>
      </c>
      <c r="G71" s="12">
        <f>(E71/D71)*100</f>
        <v>79.714285714285722</v>
      </c>
      <c r="H71">
        <v>13</v>
      </c>
      <c r="I71">
        <v>6</v>
      </c>
      <c r="J71" t="str">
        <f>IF(AND(Data!F71&gt;400, Data!G71&lt;45), "HIGH", "NORMAL")</f>
        <v>NORMAL</v>
      </c>
    </row>
    <row r="72" spans="1:10" x14ac:dyDescent="0.25">
      <c r="A72" s="5">
        <v>46082</v>
      </c>
      <c r="B72" s="5" t="str">
        <f>TEXT(A72,"mmm")</f>
        <v>Mar</v>
      </c>
      <c r="C72" t="s">
        <v>56</v>
      </c>
      <c r="D72">
        <v>700</v>
      </c>
      <c r="E72">
        <v>558</v>
      </c>
      <c r="F72">
        <f>D72-E72</f>
        <v>142</v>
      </c>
      <c r="G72" s="12">
        <f>(E72/D72)*100</f>
        <v>79.714285714285722</v>
      </c>
      <c r="H72">
        <v>5.3</v>
      </c>
      <c r="I72">
        <v>3</v>
      </c>
      <c r="J72" t="str">
        <f>IF(AND(Data!F72&gt;400, Data!G72&lt;45), "HIGH", "NORMAL")</f>
        <v>NORMAL</v>
      </c>
    </row>
    <row r="73" spans="1:10" x14ac:dyDescent="0.25">
      <c r="A73" s="5">
        <v>46098</v>
      </c>
      <c r="B73" s="5" t="str">
        <f>TEXT(A73,"mmm")</f>
        <v>Mar</v>
      </c>
      <c r="C73" t="s">
        <v>50</v>
      </c>
      <c r="D73">
        <v>700</v>
      </c>
      <c r="E73">
        <v>558</v>
      </c>
      <c r="F73">
        <f>D73-E73</f>
        <v>142</v>
      </c>
      <c r="G73" s="12">
        <f>(E73/D73)*100</f>
        <v>79.714285714285722</v>
      </c>
      <c r="H73">
        <v>8.9</v>
      </c>
      <c r="I73">
        <v>5</v>
      </c>
      <c r="J73" t="str">
        <f>IF(AND(Data!F73&gt;400, Data!G73&lt;45), "HIGH", "NORMAL")</f>
        <v>NORMAL</v>
      </c>
    </row>
    <row r="74" spans="1:10" x14ac:dyDescent="0.25">
      <c r="A74" s="5">
        <v>46058</v>
      </c>
      <c r="B74" s="5" t="str">
        <f>TEXT(A74,"mmm")</f>
        <v>Feb</v>
      </c>
      <c r="C74" t="s">
        <v>19</v>
      </c>
      <c r="D74">
        <v>700</v>
      </c>
      <c r="E74">
        <v>559</v>
      </c>
      <c r="F74">
        <f>D74-E74</f>
        <v>141</v>
      </c>
      <c r="G74" s="12">
        <f>(E74/D74)*100</f>
        <v>79.857142857142861</v>
      </c>
      <c r="H74">
        <v>15.7</v>
      </c>
      <c r="I74">
        <v>7</v>
      </c>
      <c r="J74" t="str">
        <f>IF(AND(Data!F74&gt;400, Data!G74&lt;45), "HIGH", "NORMAL")</f>
        <v>NORMAL</v>
      </c>
    </row>
    <row r="75" spans="1:10" x14ac:dyDescent="0.25">
      <c r="A75" s="5">
        <v>46081</v>
      </c>
      <c r="B75" s="5" t="str">
        <f>TEXT(A75,"mmm")</f>
        <v>Feb</v>
      </c>
      <c r="C75" t="s">
        <v>41</v>
      </c>
      <c r="D75">
        <v>700</v>
      </c>
      <c r="E75">
        <v>559</v>
      </c>
      <c r="F75">
        <f>D75-E75</f>
        <v>141</v>
      </c>
      <c r="G75" s="12">
        <f>(E75/D75)*100</f>
        <v>79.857142857142861</v>
      </c>
      <c r="H75">
        <v>11.9</v>
      </c>
      <c r="I75">
        <v>6</v>
      </c>
      <c r="J75" t="str">
        <f>IF(AND(Data!F75&gt;400, Data!G75&lt;45), "HIGH", "NORMAL")</f>
        <v>NORMAL</v>
      </c>
    </row>
    <row r="76" spans="1:10" x14ac:dyDescent="0.25">
      <c r="A76" s="5">
        <v>46092</v>
      </c>
      <c r="B76" s="5" t="str">
        <f>TEXT(A76,"mmm")</f>
        <v>Mar</v>
      </c>
      <c r="C76" t="s">
        <v>66</v>
      </c>
      <c r="D76">
        <v>700</v>
      </c>
      <c r="E76">
        <v>559</v>
      </c>
      <c r="F76">
        <f>D76-E76</f>
        <v>141</v>
      </c>
      <c r="G76" s="12">
        <f>(E76/D76)*100</f>
        <v>79.857142857142861</v>
      </c>
      <c r="H76">
        <v>7.2</v>
      </c>
      <c r="I76">
        <v>4</v>
      </c>
      <c r="J76" t="str">
        <f>IF(AND(Data!F76&gt;400, Data!G76&lt;45), "HIGH", "NORMAL")</f>
        <v>NORMAL</v>
      </c>
    </row>
    <row r="77" spans="1:10" x14ac:dyDescent="0.25">
      <c r="A77" s="5">
        <v>46103</v>
      </c>
      <c r="B77" s="5" t="str">
        <f>TEXT(A77,"mmm")</f>
        <v>Mar</v>
      </c>
      <c r="C77" t="s">
        <v>75</v>
      </c>
      <c r="D77">
        <v>700</v>
      </c>
      <c r="E77">
        <v>564</v>
      </c>
      <c r="F77">
        <f>D77-E77</f>
        <v>136</v>
      </c>
      <c r="G77" s="12">
        <f>(E77/D77)*100</f>
        <v>80.571428571428569</v>
      </c>
      <c r="H77">
        <v>5.5</v>
      </c>
      <c r="I77">
        <v>3</v>
      </c>
      <c r="J77" t="str">
        <f>IF(AND(Data!F77&gt;400, Data!G77&lt;45), "HIGH", "NORMAL")</f>
        <v>NORMAL</v>
      </c>
    </row>
    <row r="78" spans="1:10" x14ac:dyDescent="0.25">
      <c r="A78" s="5">
        <v>46061</v>
      </c>
      <c r="B78" s="5" t="str">
        <f>TEXT(A78,"mmm")</f>
        <v>Feb</v>
      </c>
      <c r="C78" t="s">
        <v>22</v>
      </c>
      <c r="D78">
        <v>700</v>
      </c>
      <c r="E78">
        <v>565</v>
      </c>
      <c r="F78">
        <f>D78-E78</f>
        <v>135</v>
      </c>
      <c r="G78" s="12">
        <f>(E78/D78)*100</f>
        <v>80.714285714285722</v>
      </c>
      <c r="H78">
        <v>11.3</v>
      </c>
      <c r="I78">
        <v>7</v>
      </c>
      <c r="J78" t="str">
        <f>IF(AND(Data!F78&gt;400, Data!G78&lt;45), "HIGH", "NORMAL")</f>
        <v>NORMAL</v>
      </c>
    </row>
    <row r="79" spans="1:10" x14ac:dyDescent="0.25">
      <c r="A79" s="5">
        <v>46023</v>
      </c>
      <c r="B79" s="5" t="str">
        <f>TEXT(A79,"mmm")</f>
        <v>Jan</v>
      </c>
      <c r="C79" t="s">
        <v>21</v>
      </c>
      <c r="D79">
        <v>700</v>
      </c>
      <c r="E79">
        <v>565</v>
      </c>
      <c r="F79">
        <f>D79-E79</f>
        <v>135</v>
      </c>
      <c r="G79" s="12">
        <f>(E79/D79)*100</f>
        <v>80.714285714285722</v>
      </c>
      <c r="H79">
        <v>10.3</v>
      </c>
      <c r="I79">
        <v>6</v>
      </c>
      <c r="J79" t="str">
        <f>IF(AND(Data!F79&gt;400, Data!G79&lt;45), "HIGH", "NORMAL")</f>
        <v>NORMAL</v>
      </c>
    </row>
    <row r="80" spans="1:10" x14ac:dyDescent="0.25">
      <c r="A80" s="5">
        <v>46095</v>
      </c>
      <c r="B80" s="5" t="str">
        <f>TEXT(A80,"mmm")</f>
        <v>Mar</v>
      </c>
      <c r="C80" t="s">
        <v>67</v>
      </c>
      <c r="D80">
        <v>700</v>
      </c>
      <c r="E80">
        <v>565</v>
      </c>
      <c r="F80">
        <f>D80-E80</f>
        <v>135</v>
      </c>
      <c r="G80" s="12">
        <f>(E80/D80)*100</f>
        <v>80.714285714285722</v>
      </c>
      <c r="H80">
        <v>8.6999999999999993</v>
      </c>
      <c r="I80">
        <v>4</v>
      </c>
      <c r="J80" t="str">
        <f>IF(AND(Data!F80&gt;400, Data!G80&lt;45), "HIGH", "NORMAL")</f>
        <v>NORMAL</v>
      </c>
    </row>
    <row r="81" spans="1:10" x14ac:dyDescent="0.25">
      <c r="A81" s="5">
        <v>46099</v>
      </c>
      <c r="B81" s="5" t="str">
        <f>TEXT(A81,"mmm")</f>
        <v>Mar</v>
      </c>
      <c r="C81" t="s">
        <v>71</v>
      </c>
      <c r="D81">
        <v>700</v>
      </c>
      <c r="E81">
        <v>593</v>
      </c>
      <c r="F81">
        <f>D81-E81</f>
        <v>107</v>
      </c>
      <c r="G81" s="12">
        <f>(E81/D81)*100</f>
        <v>84.714285714285722</v>
      </c>
      <c r="H81">
        <v>10</v>
      </c>
      <c r="I81">
        <v>5</v>
      </c>
      <c r="J81" t="str">
        <f>IF(AND(Data!F81&gt;400, Data!G81&lt;45), "HIGH", "NORMAL")</f>
        <v>NORMAL</v>
      </c>
    </row>
    <row r="82" spans="1:10" x14ac:dyDescent="0.25">
      <c r="A82" s="5">
        <v>46072</v>
      </c>
      <c r="B82" s="5" t="str">
        <f>TEXT(A82,"mmm")</f>
        <v>Feb</v>
      </c>
      <c r="C82" t="s">
        <v>15</v>
      </c>
      <c r="D82">
        <v>700</v>
      </c>
      <c r="E82">
        <v>609</v>
      </c>
      <c r="F82">
        <f>D82-E82</f>
        <v>91</v>
      </c>
      <c r="G82" s="12">
        <f>(E82/D82)*100</f>
        <v>87</v>
      </c>
      <c r="H82">
        <v>9</v>
      </c>
      <c r="I82">
        <v>6</v>
      </c>
      <c r="J82" t="str">
        <f>IF(AND(Data!F82&gt;400, Data!G82&lt;45), "HIGH", "NORMAL")</f>
        <v>NORMAL</v>
      </c>
    </row>
    <row r="83" spans="1:10" x14ac:dyDescent="0.25">
      <c r="A83" s="5">
        <v>46056</v>
      </c>
      <c r="B83" s="5" t="str">
        <f>TEXT(A83,"mmm")</f>
        <v>Feb</v>
      </c>
      <c r="C83" t="s">
        <v>17</v>
      </c>
      <c r="D83">
        <v>700</v>
      </c>
      <c r="E83">
        <v>609</v>
      </c>
      <c r="F83">
        <f>D83-E83</f>
        <v>91</v>
      </c>
      <c r="G83" s="12">
        <f>(E83/D83)*100</f>
        <v>87</v>
      </c>
      <c r="H83">
        <v>13.8</v>
      </c>
      <c r="I83">
        <v>7</v>
      </c>
      <c r="J83" t="str">
        <f>IF(AND(Data!F83&gt;400, Data!G83&lt;45), "HIGH", "NORMAL")</f>
        <v>NORMAL</v>
      </c>
    </row>
    <row r="84" spans="1:10" x14ac:dyDescent="0.25">
      <c r="A84" s="5">
        <v>46077</v>
      </c>
      <c r="B84" s="5" t="str">
        <f>TEXT(A84,"mmm")</f>
        <v>Feb</v>
      </c>
      <c r="C84" t="s">
        <v>37</v>
      </c>
      <c r="D84">
        <v>700</v>
      </c>
      <c r="E84">
        <v>609</v>
      </c>
      <c r="F84">
        <f>D84-E84</f>
        <v>91</v>
      </c>
      <c r="G84" s="12">
        <f>(E84/D84)*100</f>
        <v>87</v>
      </c>
      <c r="H84">
        <v>10.1</v>
      </c>
      <c r="I84">
        <v>6</v>
      </c>
      <c r="J84" t="str">
        <f>IF(AND(Data!F84&gt;400, Data!G84&lt;45), "HIGH", "NORMAL")</f>
        <v>NORMAL</v>
      </c>
    </row>
    <row r="85" spans="1:10" x14ac:dyDescent="0.25">
      <c r="A85" s="5">
        <v>46079</v>
      </c>
      <c r="B85" s="5" t="str">
        <f>TEXT(A85,"mmm")</f>
        <v>Feb</v>
      </c>
      <c r="C85" t="s">
        <v>39</v>
      </c>
      <c r="D85">
        <v>700</v>
      </c>
      <c r="E85">
        <v>609</v>
      </c>
      <c r="F85">
        <f>D85-E85</f>
        <v>91</v>
      </c>
      <c r="G85" s="12">
        <f>(E85/D85)*100</f>
        <v>87</v>
      </c>
      <c r="H85">
        <v>13.3</v>
      </c>
      <c r="I85">
        <v>6</v>
      </c>
      <c r="J85" t="str">
        <f>IF(AND(Data!F85&gt;400, Data!G85&lt;45), "HIGH", "NORMAL")</f>
        <v>NORMAL</v>
      </c>
    </row>
    <row r="86" spans="1:10" x14ac:dyDescent="0.25">
      <c r="A86" s="5">
        <v>46083</v>
      </c>
      <c r="B86" s="5" t="str">
        <f>TEXT(A86,"mmm")</f>
        <v>Mar</v>
      </c>
      <c r="C86" t="s">
        <v>57</v>
      </c>
      <c r="D86">
        <v>700</v>
      </c>
      <c r="E86">
        <v>609</v>
      </c>
      <c r="F86">
        <f>D86-E86</f>
        <v>91</v>
      </c>
      <c r="G86" s="12">
        <f>(E86/D86)*100</f>
        <v>87</v>
      </c>
      <c r="H86">
        <v>8.6</v>
      </c>
      <c r="I86">
        <v>5</v>
      </c>
      <c r="J86" t="str">
        <f>IF(AND(Data!F86&gt;400, Data!G86&lt;45), "HIGH", "NORMAL")</f>
        <v>NORMAL</v>
      </c>
    </row>
    <row r="87" spans="1:10" x14ac:dyDescent="0.25">
      <c r="A87" s="5">
        <v>46085</v>
      </c>
      <c r="B87" s="5" t="str">
        <f>TEXT(A87,"mmm")</f>
        <v>Mar</v>
      </c>
      <c r="C87" t="s">
        <v>59</v>
      </c>
      <c r="D87">
        <v>700</v>
      </c>
      <c r="E87">
        <v>609</v>
      </c>
      <c r="F87">
        <f>D87-E87</f>
        <v>91</v>
      </c>
      <c r="G87" s="12">
        <f>(E87/D87)*100</f>
        <v>87</v>
      </c>
      <c r="H87">
        <v>8.6</v>
      </c>
      <c r="I87">
        <v>4</v>
      </c>
      <c r="J87" t="str">
        <f>IF(AND(Data!F87&gt;400, Data!G87&lt;45), "HIGH", "NORMAL")</f>
        <v>NORMAL</v>
      </c>
    </row>
    <row r="88" spans="1:10" x14ac:dyDescent="0.25">
      <c r="A88" s="5">
        <v>46091</v>
      </c>
      <c r="B88" s="5" t="str">
        <f>TEXT(A88,"mmm")</f>
        <v>Mar</v>
      </c>
      <c r="C88" t="s">
        <v>65</v>
      </c>
      <c r="D88">
        <v>700</v>
      </c>
      <c r="E88">
        <v>612</v>
      </c>
      <c r="F88">
        <f>D88-E88</f>
        <v>88</v>
      </c>
      <c r="G88" s="12">
        <f>(E88/D88)*100</f>
        <v>87.428571428571431</v>
      </c>
      <c r="H88">
        <v>8</v>
      </c>
      <c r="I88">
        <v>5</v>
      </c>
      <c r="J88" t="str">
        <f>IF(AND(Data!F88&gt;400, Data!G88&lt;45), "HIGH", "NORMAL")</f>
        <v>NORMAL</v>
      </c>
    </row>
    <row r="89" spans="1:10" x14ac:dyDescent="0.25">
      <c r="A89" s="5">
        <v>46057</v>
      </c>
      <c r="B89" s="5" t="str">
        <f>TEXT(A89,"mmm")</f>
        <v>Feb</v>
      </c>
      <c r="C89" t="s">
        <v>18</v>
      </c>
      <c r="D89">
        <v>700</v>
      </c>
      <c r="E89">
        <v>647</v>
      </c>
      <c r="F89">
        <f>D89-E89</f>
        <v>53</v>
      </c>
      <c r="G89" s="12">
        <f>(E89/D89)*100</f>
        <v>92.428571428571431</v>
      </c>
      <c r="H89">
        <v>15.8</v>
      </c>
      <c r="I89">
        <v>7</v>
      </c>
      <c r="J89" t="str">
        <f>IF(AND(Data!F89&gt;400, Data!G89&lt;45), "HIGH", "NORMAL")</f>
        <v>NORMAL</v>
      </c>
    </row>
    <row r="90" spans="1:10" x14ac:dyDescent="0.25">
      <c r="A90" s="5">
        <v>46080</v>
      </c>
      <c r="B90" s="5" t="str">
        <f>TEXT(A90,"mmm")</f>
        <v>Feb</v>
      </c>
      <c r="C90" t="s">
        <v>40</v>
      </c>
      <c r="D90">
        <v>700</v>
      </c>
      <c r="E90">
        <v>647</v>
      </c>
      <c r="F90">
        <f>D90-E90</f>
        <v>53</v>
      </c>
      <c r="G90" s="12">
        <f>(E90/D90)*100</f>
        <v>92.428571428571431</v>
      </c>
      <c r="H90">
        <v>15</v>
      </c>
      <c r="I90">
        <v>7</v>
      </c>
      <c r="J90" t="str">
        <f>IF(AND(Data!F90&gt;400, Data!G90&lt;45), "HIGH", "NORMAL")</f>
        <v>NORMAL</v>
      </c>
    </row>
    <row r="91" spans="1:10" x14ac:dyDescent="0.25">
      <c r="A91" s="5">
        <v>46086</v>
      </c>
      <c r="B91" s="5" t="str">
        <f>TEXT(A91,"mmm")</f>
        <v>Mar</v>
      </c>
      <c r="C91" t="s">
        <v>60</v>
      </c>
      <c r="D91">
        <v>700</v>
      </c>
      <c r="E91">
        <v>647</v>
      </c>
      <c r="F91">
        <f>D91-E91</f>
        <v>53</v>
      </c>
      <c r="G91" s="12">
        <f>(E91/D91)*100</f>
        <v>92.428571428571431</v>
      </c>
      <c r="H91">
        <v>5.8</v>
      </c>
      <c r="I91">
        <v>3</v>
      </c>
      <c r="J91" t="str">
        <f>IF(AND(Data!F91&gt;400, Data!G91&lt;45), "HIGH", "NORMAL")</f>
        <v>NORMAL</v>
      </c>
    </row>
    <row r="92" spans="1:10" x14ac:dyDescent="0.25">
      <c r="A92" s="5">
        <v>46060</v>
      </c>
      <c r="B92" s="5" t="str">
        <f>TEXT(A92,"mmm")</f>
        <v>Feb</v>
      </c>
      <c r="C92" t="s">
        <v>21</v>
      </c>
      <c r="D92">
        <v>700</v>
      </c>
      <c r="E92">
        <v>649</v>
      </c>
      <c r="F92">
        <f>D92-E92</f>
        <v>51</v>
      </c>
      <c r="G92" s="12">
        <f>(E92/D92)*100</f>
        <v>92.714285714285722</v>
      </c>
      <c r="H92">
        <v>13</v>
      </c>
      <c r="I92">
        <v>7</v>
      </c>
      <c r="J92" t="str">
        <f>IF(AND(Data!F92&gt;400, Data!G92&lt;45), "HIGH", "NORMAL")</f>
        <v>NORMAL</v>
      </c>
    </row>
    <row r="93" spans="1:10" x14ac:dyDescent="0.25">
      <c r="A93" s="5">
        <v>46023</v>
      </c>
      <c r="B93" s="5" t="str">
        <f>TEXT(A93,"mmm")</f>
        <v>Jan</v>
      </c>
      <c r="C93" t="s">
        <v>43</v>
      </c>
      <c r="D93">
        <v>700</v>
      </c>
      <c r="E93">
        <v>649</v>
      </c>
      <c r="F93">
        <f>D93-E93</f>
        <v>51</v>
      </c>
      <c r="G93" s="12">
        <f>(E93/D93)*100</f>
        <v>92.714285714285722</v>
      </c>
      <c r="H93">
        <v>9.6999999999999993</v>
      </c>
      <c r="I93">
        <v>6</v>
      </c>
      <c r="J93" t="str">
        <f>IF(AND(Data!F93&gt;400, Data!G93&lt;45), "HIGH", "NORMAL")</f>
        <v>NORMAL</v>
      </c>
    </row>
    <row r="94" spans="1:10" x14ac:dyDescent="0.25">
      <c r="A94" s="5">
        <v>46094</v>
      </c>
      <c r="B94" s="5" t="str">
        <f>TEXT(A94,"mmm")</f>
        <v>Mar</v>
      </c>
      <c r="C94" t="s">
        <v>68</v>
      </c>
      <c r="D94">
        <v>700</v>
      </c>
      <c r="E94">
        <v>649</v>
      </c>
      <c r="F94">
        <f>D94-E94</f>
        <v>51</v>
      </c>
      <c r="G94" s="12">
        <f>(E94/D94)*100</f>
        <v>92.714285714285722</v>
      </c>
      <c r="H94">
        <v>8.6</v>
      </c>
      <c r="I94">
        <v>5</v>
      </c>
      <c r="J94" t="str">
        <f>IF(AND(Data!F94&gt;400, Data!G94&lt;45), "HIGH", "NORMAL")</f>
        <v>NORMAL</v>
      </c>
    </row>
    <row r="95" spans="1:10" x14ac:dyDescent="0.25">
      <c r="A95" s="5">
        <v>46070</v>
      </c>
      <c r="B95" s="5" t="str">
        <f>TEXT(A95,"mmm")</f>
        <v>Feb</v>
      </c>
      <c r="C95" t="s">
        <v>13</v>
      </c>
      <c r="D95">
        <v>700</v>
      </c>
      <c r="E95">
        <v>650</v>
      </c>
      <c r="F95">
        <f>D95-E95</f>
        <v>50</v>
      </c>
      <c r="G95" s="12">
        <f>(E95/D95)*100</f>
        <v>92.857142857142861</v>
      </c>
      <c r="H95">
        <v>9.9</v>
      </c>
      <c r="I95">
        <v>6</v>
      </c>
      <c r="J95" t="str">
        <f>IF(AND(Data!F95&gt;400, Data!G95&lt;45), "HIGH", "NORMAL")</f>
        <v>NORMAL</v>
      </c>
    </row>
    <row r="96" spans="1:10" x14ac:dyDescent="0.25">
      <c r="A96" s="5">
        <v>46075</v>
      </c>
      <c r="B96" s="5" t="str">
        <f>TEXT(A96,"mmm")</f>
        <v>Feb</v>
      </c>
      <c r="C96" t="s">
        <v>35</v>
      </c>
      <c r="D96">
        <v>700</v>
      </c>
      <c r="E96">
        <v>650</v>
      </c>
      <c r="F96">
        <f>D96-E96</f>
        <v>50</v>
      </c>
      <c r="G96" s="12">
        <f>(E96/D96)*100</f>
        <v>92.857142857142861</v>
      </c>
      <c r="H96">
        <v>13.5</v>
      </c>
      <c r="I96">
        <v>7</v>
      </c>
      <c r="J96" t="str">
        <f>IF(AND(Data!F96&gt;400, Data!G96&lt;45), "HIGH", "NORMAL")</f>
        <v>NORMAL</v>
      </c>
    </row>
    <row r="97" spans="1:10" x14ac:dyDescent="0.25">
      <c r="A97" s="5">
        <v>46023</v>
      </c>
      <c r="B97" s="5" t="str">
        <f>TEXT(A97,"mmm")</f>
        <v>Jan</v>
      </c>
      <c r="C97" t="s">
        <v>55</v>
      </c>
      <c r="D97">
        <v>700</v>
      </c>
      <c r="E97">
        <v>650</v>
      </c>
      <c r="F97">
        <f>D97-E97</f>
        <v>50</v>
      </c>
      <c r="G97" s="12">
        <f>(E97/D97)*100</f>
        <v>92.857142857142861</v>
      </c>
      <c r="H97">
        <v>7.7</v>
      </c>
      <c r="I97">
        <v>4</v>
      </c>
      <c r="J97" t="str">
        <f>IF(AND(Data!F97&gt;400, Data!G97&lt;45), "HIGH", "NORMAL")</f>
        <v>NORMAL</v>
      </c>
    </row>
    <row r="98" spans="1:10" x14ac:dyDescent="0.25">
      <c r="A98" s="5">
        <v>46070</v>
      </c>
      <c r="B98" s="5" t="str">
        <f>TEXT(A98,"mmm")</f>
        <v>Feb</v>
      </c>
      <c r="C98" t="s">
        <v>31</v>
      </c>
      <c r="D98">
        <v>700</v>
      </c>
      <c r="E98">
        <v>700</v>
      </c>
      <c r="F98">
        <f>D98-E98</f>
        <v>0</v>
      </c>
      <c r="G98" s="12">
        <f>(E98/D98)*100</f>
        <v>100</v>
      </c>
      <c r="H98">
        <v>11.2</v>
      </c>
      <c r="I98">
        <v>7</v>
      </c>
      <c r="J98" t="str">
        <f>IF(AND(Data!F98&gt;400, Data!G98&lt;45), "HIGH", "NORMAL")</f>
        <v>NORMAL</v>
      </c>
    </row>
    <row r="99" spans="1:10" x14ac:dyDescent="0.25">
      <c r="A99" s="5">
        <v>46071</v>
      </c>
      <c r="B99" s="5" t="str">
        <f>TEXT(A99,"mmm")</f>
        <v>Feb</v>
      </c>
      <c r="C99" t="s">
        <v>32</v>
      </c>
      <c r="D99">
        <v>700</v>
      </c>
      <c r="E99">
        <v>700</v>
      </c>
      <c r="F99">
        <f>D99-E99</f>
        <v>0</v>
      </c>
      <c r="G99" s="12">
        <f>(E99/D99)*100</f>
        <v>100</v>
      </c>
      <c r="H99">
        <v>11.3</v>
      </c>
      <c r="I99">
        <v>7</v>
      </c>
      <c r="J99" t="str">
        <f>IF(AND(Data!F99&gt;400, Data!G99&lt;45), "HIGH", "NORMAL")</f>
        <v>NORMAL</v>
      </c>
    </row>
    <row r="100" spans="1:10" x14ac:dyDescent="0.25">
      <c r="A100" s="5">
        <v>46072</v>
      </c>
      <c r="B100" s="5" t="str">
        <f>TEXT(A100,"mmm")</f>
        <v>Feb</v>
      </c>
      <c r="C100" t="s">
        <v>33</v>
      </c>
      <c r="D100">
        <v>700</v>
      </c>
      <c r="E100">
        <v>700</v>
      </c>
      <c r="F100">
        <f>D100-E100</f>
        <v>0</v>
      </c>
      <c r="G100" s="12">
        <f>(E100/D100)*100</f>
        <v>100</v>
      </c>
      <c r="H100">
        <v>10.3</v>
      </c>
      <c r="I100">
        <v>6</v>
      </c>
      <c r="J100" t="str">
        <f>IF(AND(Data!F100&gt;400, Data!G100&lt;45), "HIGH", "NORMAL")</f>
        <v>NORMAL</v>
      </c>
    </row>
    <row r="101" spans="1:10" x14ac:dyDescent="0.25">
      <c r="A101" s="5">
        <v>46073</v>
      </c>
      <c r="B101" s="5" t="str">
        <f>TEXT(A101,"mmm")</f>
        <v>Feb</v>
      </c>
      <c r="C101" t="s">
        <v>31</v>
      </c>
      <c r="D101">
        <v>700</v>
      </c>
      <c r="E101">
        <v>700</v>
      </c>
      <c r="F101">
        <f>D101-E101</f>
        <v>0</v>
      </c>
      <c r="G101" s="12">
        <f>(E101/D101)*100</f>
        <v>100</v>
      </c>
      <c r="H101">
        <v>10.1</v>
      </c>
      <c r="I101">
        <v>6</v>
      </c>
      <c r="J101" t="str">
        <f>IF(AND(Data!F101&gt;400, Data!G101&lt;45), "HIGH", "NORMAL")</f>
        <v>NORMAL</v>
      </c>
    </row>
  </sheetData>
  <autoFilter ref="A1:I101" xr:uid="{B87B2B2A-C88F-40EA-A422-E04E0A405141}">
    <sortState xmlns:xlrd2="http://schemas.microsoft.com/office/spreadsheetml/2017/richdata2" ref="A2:I101">
      <sortCondition ref="G1:G101"/>
    </sortState>
  </autoFilter>
  <sortState xmlns:xlrd2="http://schemas.microsoft.com/office/spreadsheetml/2017/richdata2" ref="A2:J101">
    <sortCondition ref="G2:G101"/>
  </sortState>
  <conditionalFormatting sqref="G1:G1048576">
    <cfRule type="aboveAverage" dxfId="1" priority="1" aboveAverage="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CE9D6-A8D7-4DB9-BE18-72F52F4A62F3}">
  <dimension ref="A3:G220"/>
  <sheetViews>
    <sheetView zoomScale="85" zoomScaleNormal="85" workbookViewId="0">
      <selection activeCell="A11" sqref="A11:G17"/>
    </sheetView>
  </sheetViews>
  <sheetFormatPr defaultRowHeight="15" x14ac:dyDescent="0.25"/>
  <cols>
    <col min="1" max="1" width="10.42578125" bestFit="1" customWidth="1"/>
    <col min="2" max="2" width="21.7109375" bestFit="1" customWidth="1"/>
    <col min="3" max="3" width="27.7109375" bestFit="1" customWidth="1"/>
    <col min="4" max="4" width="24.28515625" bestFit="1" customWidth="1"/>
    <col min="5" max="5" width="27.7109375" bestFit="1" customWidth="1"/>
    <col min="6" max="6" width="34.140625" bestFit="1" customWidth="1"/>
    <col min="7" max="7" width="18.42578125" bestFit="1" customWidth="1"/>
    <col min="8" max="8" width="6.5703125" bestFit="1" customWidth="1"/>
    <col min="9" max="9" width="7.140625" bestFit="1" customWidth="1"/>
  </cols>
  <sheetData>
    <row r="3" spans="1:7" x14ac:dyDescent="0.25">
      <c r="A3" s="13" t="s">
        <v>116</v>
      </c>
      <c r="B3" t="s">
        <v>119</v>
      </c>
      <c r="C3" t="s">
        <v>115</v>
      </c>
      <c r="D3" s="22" t="s">
        <v>120</v>
      </c>
    </row>
    <row r="4" spans="1:7" x14ac:dyDescent="0.25">
      <c r="A4" s="14" t="s">
        <v>111</v>
      </c>
      <c r="B4" s="15">
        <v>4.6111111111111107</v>
      </c>
      <c r="C4" s="15">
        <v>53.071428571428584</v>
      </c>
      <c r="D4" t="str">
        <f>_xlfn.LET(
   _xlpm.val, GETPIVOTDATA("Average of Rate of payment%", $A$3, "Month", "Jan"),
   IF(_xlpm.val &gt; 65, "LOW RISK",
      IF(AND(_xlpm.val &gt;= 50, _xlpm.val &lt; 65), "Medium", "HIGH")
   )
)</f>
        <v>Medium</v>
      </c>
    </row>
    <row r="5" spans="1:7" x14ac:dyDescent="0.25">
      <c r="A5" s="14" t="s">
        <v>112</v>
      </c>
      <c r="B5" s="15">
        <v>4.3396226415094343</v>
      </c>
      <c r="C5" s="15">
        <v>52.345013477088948</v>
      </c>
      <c r="D5" t="str">
        <f>_xlfn.LET(
   _xlpm.val, GETPIVOTDATA("Average of Rate of payment%", $A$3, "Month", "Feb"),
   IF(_xlpm.val &gt; 65, "LOW RISK",
      IF(AND(_xlpm.val &gt;= 50, _xlpm.val &lt; 65), "Medium", "HIGH")
   )
)</f>
        <v>Medium</v>
      </c>
    </row>
    <row r="6" spans="1:7" x14ac:dyDescent="0.25">
      <c r="A6" s="14" t="s">
        <v>113</v>
      </c>
      <c r="B6" s="15">
        <v>3.3448275862068964</v>
      </c>
      <c r="C6" s="15">
        <v>65.192118226600982</v>
      </c>
      <c r="D6" t="str">
        <f>_xlfn.LET(
   _xlpm.val, GETPIVOTDATA("Average of Rate of payment%", $A$3, "Month", "Mar"),
   IF(_xlpm.val &gt; 65, "LOW RISK",
      IF(AND(_xlpm.val &gt;= 50, _xlpm.val &lt; 65), "Medium", "HIGH")
   )
)</f>
        <v>LOW RISK</v>
      </c>
    </row>
    <row r="7" spans="1:7" x14ac:dyDescent="0.25">
      <c r="A7" s="14" t="s">
        <v>126</v>
      </c>
      <c r="B7" s="15"/>
      <c r="C7" s="15"/>
    </row>
    <row r="10" spans="1:7" x14ac:dyDescent="0.25">
      <c r="B10" s="1" t="s">
        <v>121</v>
      </c>
    </row>
    <row r="12" spans="1:7" x14ac:dyDescent="0.25">
      <c r="A12" s="13" t="s">
        <v>116</v>
      </c>
      <c r="B12" t="s">
        <v>118</v>
      </c>
      <c r="C12" t="s">
        <v>117</v>
      </c>
      <c r="D12" t="s">
        <v>123</v>
      </c>
      <c r="E12" t="s">
        <v>115</v>
      </c>
      <c r="F12" t="s">
        <v>125</v>
      </c>
      <c r="G12" t="s">
        <v>114</v>
      </c>
    </row>
    <row r="13" spans="1:7" x14ac:dyDescent="0.25">
      <c r="A13" s="14" t="s">
        <v>112</v>
      </c>
      <c r="B13" s="15">
        <v>19420</v>
      </c>
      <c r="C13" s="15">
        <v>17680</v>
      </c>
      <c r="D13" s="15">
        <v>37100</v>
      </c>
      <c r="E13" s="10">
        <v>52.345013477088948</v>
      </c>
      <c r="F13" s="15">
        <v>8.2528301886792459</v>
      </c>
      <c r="G13" s="15">
        <v>230</v>
      </c>
    </row>
    <row r="14" spans="1:7" x14ac:dyDescent="0.25">
      <c r="A14" s="14" t="s">
        <v>113</v>
      </c>
      <c r="B14" s="15">
        <v>13234</v>
      </c>
      <c r="C14" s="15">
        <v>7066</v>
      </c>
      <c r="D14" s="15">
        <v>20300</v>
      </c>
      <c r="E14" s="10">
        <v>65.192118226600996</v>
      </c>
      <c r="F14" s="15">
        <v>6.2448275862068954</v>
      </c>
      <c r="G14" s="15">
        <v>97</v>
      </c>
    </row>
    <row r="15" spans="1:7" x14ac:dyDescent="0.25">
      <c r="A15" s="14" t="s">
        <v>126</v>
      </c>
      <c r="B15" s="15"/>
      <c r="C15" s="15"/>
      <c r="D15" s="15"/>
      <c r="E15" s="15"/>
      <c r="F15" s="15"/>
      <c r="G15" s="15"/>
    </row>
    <row r="16" spans="1:7" x14ac:dyDescent="0.25">
      <c r="A16" s="14" t="s">
        <v>110</v>
      </c>
      <c r="B16" s="15">
        <v>32654</v>
      </c>
      <c r="C16" s="15">
        <v>24746</v>
      </c>
      <c r="D16" s="15">
        <v>57400</v>
      </c>
      <c r="E16" s="10">
        <v>56.888501742160258</v>
      </c>
      <c r="F16" s="15">
        <v>7.5426829268292694</v>
      </c>
      <c r="G16" s="15">
        <v>327</v>
      </c>
    </row>
    <row r="19" spans="1:4" x14ac:dyDescent="0.25">
      <c r="A19" s="13" t="s">
        <v>124</v>
      </c>
      <c r="B19" t="s">
        <v>115</v>
      </c>
      <c r="C19" t="s">
        <v>125</v>
      </c>
      <c r="D19" t="s">
        <v>114</v>
      </c>
    </row>
    <row r="20" spans="1:4" x14ac:dyDescent="0.25">
      <c r="A20" s="14" t="s">
        <v>111</v>
      </c>
      <c r="B20" s="10">
        <v>53.071428571428584</v>
      </c>
      <c r="C20" s="20">
        <v>9.0499999999999989</v>
      </c>
      <c r="D20">
        <v>83</v>
      </c>
    </row>
    <row r="21" spans="1:4" x14ac:dyDescent="0.25">
      <c r="A21" s="14" t="s">
        <v>112</v>
      </c>
      <c r="B21" s="10">
        <v>52.345013477088948</v>
      </c>
      <c r="C21" s="20">
        <v>8.2528301886792459</v>
      </c>
      <c r="D21">
        <v>230</v>
      </c>
    </row>
    <row r="22" spans="1:4" x14ac:dyDescent="0.25">
      <c r="A22" s="14" t="s">
        <v>113</v>
      </c>
      <c r="B22" s="10">
        <v>65.192118226600982</v>
      </c>
      <c r="C22" s="20">
        <v>6.2448275862068963</v>
      </c>
      <c r="D22">
        <v>97</v>
      </c>
    </row>
    <row r="23" spans="1:4" x14ac:dyDescent="0.25">
      <c r="A23" s="14" t="s">
        <v>110</v>
      </c>
      <c r="B23" s="10">
        <v>56.201428571428551</v>
      </c>
      <c r="C23">
        <v>7.8140000000000001</v>
      </c>
      <c r="D23">
        <v>410</v>
      </c>
    </row>
    <row r="26" spans="1:4" x14ac:dyDescent="0.25">
      <c r="A26" s="13" t="s">
        <v>124</v>
      </c>
      <c r="B26" t="s">
        <v>118</v>
      </c>
      <c r="C26" t="s">
        <v>117</v>
      </c>
    </row>
    <row r="27" spans="1:4" x14ac:dyDescent="0.25">
      <c r="A27" s="14" t="s">
        <v>31</v>
      </c>
      <c r="B27">
        <v>1400</v>
      </c>
      <c r="C27">
        <v>0</v>
      </c>
    </row>
    <row r="28" spans="1:4" x14ac:dyDescent="0.25">
      <c r="A28" s="14" t="s">
        <v>21</v>
      </c>
      <c r="B28">
        <v>1214</v>
      </c>
      <c r="C28">
        <v>186</v>
      </c>
    </row>
    <row r="29" spans="1:4" x14ac:dyDescent="0.25">
      <c r="A29" s="14" t="s">
        <v>67</v>
      </c>
      <c r="B29">
        <v>1115</v>
      </c>
      <c r="C29">
        <v>285</v>
      </c>
    </row>
    <row r="30" spans="1:4" x14ac:dyDescent="0.25">
      <c r="A30" s="14" t="s">
        <v>32</v>
      </c>
      <c r="B30">
        <v>828</v>
      </c>
      <c r="C30">
        <v>572</v>
      </c>
    </row>
    <row r="31" spans="1:4" x14ac:dyDescent="0.25">
      <c r="A31" s="14" t="s">
        <v>33</v>
      </c>
      <c r="B31">
        <v>700</v>
      </c>
      <c r="C31">
        <v>0</v>
      </c>
    </row>
    <row r="32" spans="1:4" x14ac:dyDescent="0.25">
      <c r="A32" s="14" t="s">
        <v>13</v>
      </c>
      <c r="B32">
        <v>650</v>
      </c>
      <c r="C32">
        <v>50</v>
      </c>
    </row>
    <row r="33" spans="1:6" x14ac:dyDescent="0.25">
      <c r="A33" s="14" t="s">
        <v>35</v>
      </c>
      <c r="B33">
        <v>650</v>
      </c>
      <c r="C33">
        <v>50</v>
      </c>
    </row>
    <row r="34" spans="1:6" x14ac:dyDescent="0.25">
      <c r="A34" s="14" t="s">
        <v>55</v>
      </c>
      <c r="B34">
        <v>650</v>
      </c>
      <c r="C34">
        <v>50</v>
      </c>
    </row>
    <row r="35" spans="1:6" x14ac:dyDescent="0.25">
      <c r="A35" s="14" t="s">
        <v>43</v>
      </c>
      <c r="B35">
        <v>649</v>
      </c>
      <c r="C35">
        <v>51</v>
      </c>
    </row>
    <row r="36" spans="1:6" x14ac:dyDescent="0.25">
      <c r="A36" s="14" t="s">
        <v>68</v>
      </c>
      <c r="B36">
        <v>649</v>
      </c>
      <c r="C36">
        <v>51</v>
      </c>
    </row>
    <row r="37" spans="1:6" x14ac:dyDescent="0.25">
      <c r="A37" s="14" t="s">
        <v>40</v>
      </c>
      <c r="B37">
        <v>647</v>
      </c>
      <c r="C37">
        <v>53</v>
      </c>
    </row>
    <row r="38" spans="1:6" x14ac:dyDescent="0.25">
      <c r="A38" s="14" t="s">
        <v>18</v>
      </c>
      <c r="B38">
        <v>647</v>
      </c>
      <c r="C38">
        <v>53</v>
      </c>
      <c r="E38" s="13" t="s">
        <v>128</v>
      </c>
      <c r="F38" t="s">
        <v>127</v>
      </c>
    </row>
    <row r="39" spans="1:6" x14ac:dyDescent="0.25">
      <c r="A39" s="14" t="s">
        <v>60</v>
      </c>
      <c r="B39">
        <v>647</v>
      </c>
      <c r="C39">
        <v>53</v>
      </c>
      <c r="E39" s="14" t="s">
        <v>111</v>
      </c>
      <c r="F39" s="15">
        <v>18</v>
      </c>
    </row>
    <row r="40" spans="1:6" x14ac:dyDescent="0.25">
      <c r="A40" s="14" t="s">
        <v>65</v>
      </c>
      <c r="B40">
        <v>612</v>
      </c>
      <c r="C40">
        <v>88</v>
      </c>
      <c r="E40" s="14" t="s">
        <v>112</v>
      </c>
      <c r="F40" s="15">
        <v>53</v>
      </c>
    </row>
    <row r="41" spans="1:6" x14ac:dyDescent="0.25">
      <c r="A41" s="14" t="s">
        <v>17</v>
      </c>
      <c r="B41">
        <v>609</v>
      </c>
      <c r="C41">
        <v>91</v>
      </c>
      <c r="E41" s="14" t="s">
        <v>113</v>
      </c>
      <c r="F41" s="15">
        <v>29</v>
      </c>
    </row>
    <row r="42" spans="1:6" x14ac:dyDescent="0.25">
      <c r="A42" s="14" t="s">
        <v>37</v>
      </c>
      <c r="B42">
        <v>609</v>
      </c>
      <c r="C42">
        <v>91</v>
      </c>
      <c r="E42" s="14" t="s">
        <v>110</v>
      </c>
      <c r="F42" s="15">
        <v>100</v>
      </c>
    </row>
    <row r="43" spans="1:6" x14ac:dyDescent="0.25">
      <c r="A43" s="14" t="s">
        <v>39</v>
      </c>
      <c r="B43">
        <v>609</v>
      </c>
      <c r="C43">
        <v>91</v>
      </c>
    </row>
    <row r="44" spans="1:6" x14ac:dyDescent="0.25">
      <c r="A44" s="14" t="s">
        <v>15</v>
      </c>
      <c r="B44">
        <v>609</v>
      </c>
      <c r="C44">
        <v>91</v>
      </c>
    </row>
    <row r="45" spans="1:6" x14ac:dyDescent="0.25">
      <c r="A45" s="14" t="s">
        <v>57</v>
      </c>
      <c r="B45">
        <v>609</v>
      </c>
      <c r="C45">
        <v>91</v>
      </c>
    </row>
    <row r="46" spans="1:6" x14ac:dyDescent="0.25">
      <c r="A46" s="14" t="s">
        <v>59</v>
      </c>
      <c r="B46">
        <v>609</v>
      </c>
      <c r="C46">
        <v>91</v>
      </c>
    </row>
    <row r="47" spans="1:6" x14ac:dyDescent="0.25">
      <c r="A47" s="14" t="s">
        <v>71</v>
      </c>
      <c r="B47">
        <v>593</v>
      </c>
      <c r="C47">
        <v>107</v>
      </c>
    </row>
    <row r="48" spans="1:6" x14ac:dyDescent="0.25">
      <c r="A48" s="14" t="s">
        <v>50</v>
      </c>
      <c r="B48">
        <v>592</v>
      </c>
      <c r="C48">
        <v>808</v>
      </c>
    </row>
    <row r="49" spans="1:3" x14ac:dyDescent="0.25">
      <c r="A49" s="14" t="s">
        <v>22</v>
      </c>
      <c r="B49">
        <v>565</v>
      </c>
      <c r="C49">
        <v>135</v>
      </c>
    </row>
    <row r="50" spans="1:3" x14ac:dyDescent="0.25">
      <c r="A50" s="14" t="s">
        <v>75</v>
      </c>
      <c r="B50">
        <v>564</v>
      </c>
      <c r="C50">
        <v>136</v>
      </c>
    </row>
    <row r="51" spans="1:3" x14ac:dyDescent="0.25">
      <c r="A51" s="14" t="s">
        <v>19</v>
      </c>
      <c r="B51">
        <v>559</v>
      </c>
      <c r="C51">
        <v>141</v>
      </c>
    </row>
    <row r="52" spans="1:3" x14ac:dyDescent="0.25">
      <c r="A52" s="14" t="s">
        <v>66</v>
      </c>
      <c r="B52">
        <v>559</v>
      </c>
      <c r="C52">
        <v>141</v>
      </c>
    </row>
    <row r="53" spans="1:3" x14ac:dyDescent="0.25">
      <c r="A53" s="14" t="s">
        <v>41</v>
      </c>
      <c r="B53">
        <v>559</v>
      </c>
      <c r="C53">
        <v>141</v>
      </c>
    </row>
    <row r="54" spans="1:3" x14ac:dyDescent="0.25">
      <c r="A54" s="14" t="s">
        <v>36</v>
      </c>
      <c r="B54">
        <v>558</v>
      </c>
      <c r="C54">
        <v>142</v>
      </c>
    </row>
    <row r="55" spans="1:3" x14ac:dyDescent="0.25">
      <c r="A55" s="14" t="s">
        <v>14</v>
      </c>
      <c r="B55">
        <v>558</v>
      </c>
      <c r="C55">
        <v>142</v>
      </c>
    </row>
    <row r="56" spans="1:3" x14ac:dyDescent="0.25">
      <c r="A56" s="14" t="s">
        <v>56</v>
      </c>
      <c r="B56">
        <v>558</v>
      </c>
      <c r="C56">
        <v>142</v>
      </c>
    </row>
    <row r="57" spans="1:3" x14ac:dyDescent="0.25">
      <c r="A57" s="14" t="s">
        <v>20</v>
      </c>
      <c r="B57">
        <v>550</v>
      </c>
      <c r="C57">
        <v>150</v>
      </c>
    </row>
    <row r="58" spans="1:3" x14ac:dyDescent="0.25">
      <c r="A58" s="14" t="s">
        <v>42</v>
      </c>
      <c r="B58">
        <v>550</v>
      </c>
      <c r="C58">
        <v>150</v>
      </c>
    </row>
    <row r="59" spans="1:3" x14ac:dyDescent="0.25">
      <c r="A59" s="14" t="s">
        <v>62</v>
      </c>
      <c r="B59">
        <v>548</v>
      </c>
      <c r="C59">
        <v>152</v>
      </c>
    </row>
    <row r="60" spans="1:3" x14ac:dyDescent="0.25">
      <c r="A60" s="14" t="s">
        <v>63</v>
      </c>
      <c r="B60">
        <v>541</v>
      </c>
      <c r="C60">
        <v>159</v>
      </c>
    </row>
    <row r="61" spans="1:3" x14ac:dyDescent="0.25">
      <c r="A61" s="14" t="s">
        <v>52</v>
      </c>
      <c r="B61">
        <v>535</v>
      </c>
      <c r="C61">
        <v>165</v>
      </c>
    </row>
    <row r="62" spans="1:3" x14ac:dyDescent="0.25">
      <c r="A62" s="14" t="s">
        <v>53</v>
      </c>
      <c r="B62">
        <v>533</v>
      </c>
      <c r="C62">
        <v>167</v>
      </c>
    </row>
    <row r="63" spans="1:3" x14ac:dyDescent="0.25">
      <c r="A63" s="14" t="s">
        <v>69</v>
      </c>
      <c r="B63">
        <v>501</v>
      </c>
      <c r="C63">
        <v>199</v>
      </c>
    </row>
    <row r="64" spans="1:3" x14ac:dyDescent="0.25">
      <c r="A64" s="14" t="s">
        <v>23</v>
      </c>
      <c r="B64">
        <v>501</v>
      </c>
      <c r="C64">
        <v>199</v>
      </c>
    </row>
    <row r="65" spans="1:3" x14ac:dyDescent="0.25">
      <c r="A65" s="14" t="s">
        <v>44</v>
      </c>
      <c r="B65">
        <v>501</v>
      </c>
      <c r="C65">
        <v>199</v>
      </c>
    </row>
    <row r="66" spans="1:3" x14ac:dyDescent="0.25">
      <c r="A66" s="14" t="s">
        <v>12</v>
      </c>
      <c r="B66">
        <v>492</v>
      </c>
      <c r="C66">
        <v>208</v>
      </c>
    </row>
    <row r="67" spans="1:3" x14ac:dyDescent="0.25">
      <c r="A67" s="14" t="s">
        <v>34</v>
      </c>
      <c r="B67">
        <v>492</v>
      </c>
      <c r="C67">
        <v>208</v>
      </c>
    </row>
    <row r="68" spans="1:3" x14ac:dyDescent="0.25">
      <c r="A68" s="14" t="s">
        <v>54</v>
      </c>
      <c r="B68">
        <v>492</v>
      </c>
      <c r="C68">
        <v>208</v>
      </c>
    </row>
    <row r="69" spans="1:3" x14ac:dyDescent="0.25">
      <c r="A69" s="14" t="s">
        <v>16</v>
      </c>
      <c r="B69">
        <v>487</v>
      </c>
      <c r="C69">
        <v>213</v>
      </c>
    </row>
    <row r="70" spans="1:3" x14ac:dyDescent="0.25">
      <c r="A70" s="14" t="s">
        <v>38</v>
      </c>
      <c r="B70">
        <v>487</v>
      </c>
      <c r="C70">
        <v>213</v>
      </c>
    </row>
    <row r="71" spans="1:3" x14ac:dyDescent="0.25">
      <c r="A71" s="14" t="s">
        <v>58</v>
      </c>
      <c r="B71">
        <v>487</v>
      </c>
      <c r="C71">
        <v>213</v>
      </c>
    </row>
    <row r="72" spans="1:3" x14ac:dyDescent="0.25">
      <c r="A72" s="14" t="s">
        <v>73</v>
      </c>
      <c r="B72">
        <v>448</v>
      </c>
      <c r="C72">
        <v>252</v>
      </c>
    </row>
    <row r="73" spans="1:3" x14ac:dyDescent="0.25">
      <c r="A73" s="14" t="s">
        <v>72</v>
      </c>
      <c r="B73">
        <v>448</v>
      </c>
      <c r="C73">
        <v>252</v>
      </c>
    </row>
    <row r="74" spans="1:3" x14ac:dyDescent="0.25">
      <c r="A74" s="14" t="s">
        <v>64</v>
      </c>
      <c r="B74">
        <v>446</v>
      </c>
      <c r="C74">
        <v>254</v>
      </c>
    </row>
    <row r="75" spans="1:3" x14ac:dyDescent="0.25">
      <c r="A75" s="14" t="s">
        <v>25</v>
      </c>
      <c r="B75">
        <v>439</v>
      </c>
      <c r="C75">
        <v>261</v>
      </c>
    </row>
    <row r="76" spans="1:3" x14ac:dyDescent="0.25">
      <c r="A76" s="14" t="s">
        <v>76</v>
      </c>
      <c r="B76">
        <v>439</v>
      </c>
      <c r="C76">
        <v>261</v>
      </c>
    </row>
    <row r="77" spans="1:3" x14ac:dyDescent="0.25">
      <c r="A77" s="14" t="s">
        <v>46</v>
      </c>
      <c r="B77">
        <v>439</v>
      </c>
      <c r="C77">
        <v>261</v>
      </c>
    </row>
    <row r="78" spans="1:3" x14ac:dyDescent="0.25">
      <c r="A78" s="14" t="s">
        <v>61</v>
      </c>
      <c r="B78">
        <v>437</v>
      </c>
      <c r="C78">
        <v>263</v>
      </c>
    </row>
    <row r="79" spans="1:3" x14ac:dyDescent="0.25">
      <c r="A79" s="14" t="s">
        <v>70</v>
      </c>
      <c r="B79">
        <v>424</v>
      </c>
      <c r="C79">
        <v>276</v>
      </c>
    </row>
    <row r="80" spans="1:3" x14ac:dyDescent="0.25">
      <c r="A80" s="14" t="s">
        <v>24</v>
      </c>
      <c r="B80">
        <v>424</v>
      </c>
      <c r="C80">
        <v>276</v>
      </c>
    </row>
    <row r="81" spans="1:3" x14ac:dyDescent="0.25">
      <c r="A81" s="14" t="s">
        <v>45</v>
      </c>
      <c r="B81">
        <v>424</v>
      </c>
      <c r="C81">
        <v>276</v>
      </c>
    </row>
    <row r="82" spans="1:3" x14ac:dyDescent="0.25">
      <c r="A82" s="14" t="s">
        <v>51</v>
      </c>
      <c r="B82">
        <v>423</v>
      </c>
      <c r="C82">
        <v>277</v>
      </c>
    </row>
    <row r="83" spans="1:3" x14ac:dyDescent="0.25">
      <c r="A83" s="14" t="s">
        <v>74</v>
      </c>
      <c r="B83">
        <v>421</v>
      </c>
      <c r="C83">
        <v>279</v>
      </c>
    </row>
    <row r="84" spans="1:3" x14ac:dyDescent="0.25">
      <c r="A84" s="14" t="s">
        <v>101</v>
      </c>
      <c r="B84">
        <v>281</v>
      </c>
      <c r="C84">
        <v>419</v>
      </c>
    </row>
    <row r="85" spans="1:3" x14ac:dyDescent="0.25">
      <c r="A85" s="14" t="s">
        <v>28</v>
      </c>
      <c r="B85">
        <v>276</v>
      </c>
      <c r="C85">
        <v>424</v>
      </c>
    </row>
    <row r="86" spans="1:3" x14ac:dyDescent="0.25">
      <c r="A86" s="14" t="s">
        <v>49</v>
      </c>
      <c r="B86">
        <v>276</v>
      </c>
      <c r="C86">
        <v>424</v>
      </c>
    </row>
    <row r="87" spans="1:3" x14ac:dyDescent="0.25">
      <c r="A87" s="14" t="s">
        <v>79</v>
      </c>
      <c r="B87">
        <v>276</v>
      </c>
      <c r="C87">
        <v>424</v>
      </c>
    </row>
    <row r="88" spans="1:3" x14ac:dyDescent="0.25">
      <c r="A88" s="14" t="s">
        <v>82</v>
      </c>
      <c r="B88">
        <v>268</v>
      </c>
      <c r="C88">
        <v>432</v>
      </c>
    </row>
    <row r="89" spans="1:3" x14ac:dyDescent="0.25">
      <c r="A89" s="14" t="s">
        <v>89</v>
      </c>
      <c r="B89">
        <v>267</v>
      </c>
      <c r="C89">
        <v>433</v>
      </c>
    </row>
    <row r="90" spans="1:3" x14ac:dyDescent="0.25">
      <c r="A90" s="14" t="s">
        <v>87</v>
      </c>
      <c r="B90">
        <v>267</v>
      </c>
      <c r="C90">
        <v>433</v>
      </c>
    </row>
    <row r="91" spans="1:3" x14ac:dyDescent="0.25">
      <c r="A91" s="14" t="s">
        <v>94</v>
      </c>
      <c r="B91">
        <v>265</v>
      </c>
      <c r="C91">
        <v>435</v>
      </c>
    </row>
    <row r="92" spans="1:3" x14ac:dyDescent="0.25">
      <c r="A92" s="14" t="s">
        <v>105</v>
      </c>
      <c r="B92">
        <v>261</v>
      </c>
      <c r="C92">
        <v>439</v>
      </c>
    </row>
    <row r="93" spans="1:3" x14ac:dyDescent="0.25">
      <c r="A93" s="14" t="s">
        <v>99</v>
      </c>
      <c r="B93">
        <v>244</v>
      </c>
      <c r="C93">
        <v>456</v>
      </c>
    </row>
    <row r="94" spans="1:3" x14ac:dyDescent="0.25">
      <c r="A94" s="14" t="s">
        <v>100</v>
      </c>
      <c r="B94">
        <v>241</v>
      </c>
      <c r="C94">
        <v>459</v>
      </c>
    </row>
    <row r="95" spans="1:3" x14ac:dyDescent="0.25">
      <c r="A95" s="14" t="s">
        <v>98</v>
      </c>
      <c r="B95">
        <v>236</v>
      </c>
      <c r="C95">
        <v>464</v>
      </c>
    </row>
    <row r="96" spans="1:3" x14ac:dyDescent="0.25">
      <c r="A96" s="14" t="s">
        <v>91</v>
      </c>
      <c r="B96">
        <v>232</v>
      </c>
      <c r="C96">
        <v>468</v>
      </c>
    </row>
    <row r="97" spans="1:3" x14ac:dyDescent="0.25">
      <c r="A97" s="14" t="s">
        <v>93</v>
      </c>
      <c r="B97">
        <v>196</v>
      </c>
      <c r="C97">
        <v>504</v>
      </c>
    </row>
    <row r="98" spans="1:3" x14ac:dyDescent="0.25">
      <c r="A98" s="14" t="s">
        <v>90</v>
      </c>
      <c r="B98">
        <v>178</v>
      </c>
      <c r="C98">
        <v>522</v>
      </c>
    </row>
    <row r="99" spans="1:3" x14ac:dyDescent="0.25">
      <c r="A99" s="14" t="s">
        <v>47</v>
      </c>
      <c r="B99">
        <v>174</v>
      </c>
      <c r="C99">
        <v>526</v>
      </c>
    </row>
    <row r="100" spans="1:3" x14ac:dyDescent="0.25">
      <c r="A100" s="14" t="s">
        <v>77</v>
      </c>
      <c r="B100">
        <v>174</v>
      </c>
      <c r="C100">
        <v>526</v>
      </c>
    </row>
    <row r="101" spans="1:3" x14ac:dyDescent="0.25">
      <c r="A101" s="14" t="s">
        <v>26</v>
      </c>
      <c r="B101">
        <v>174</v>
      </c>
      <c r="C101">
        <v>526</v>
      </c>
    </row>
    <row r="102" spans="1:3" x14ac:dyDescent="0.25">
      <c r="A102" s="14" t="s">
        <v>83</v>
      </c>
      <c r="B102">
        <v>155</v>
      </c>
      <c r="C102">
        <v>545</v>
      </c>
    </row>
    <row r="103" spans="1:3" x14ac:dyDescent="0.25">
      <c r="A103" s="14" t="s">
        <v>97</v>
      </c>
      <c r="B103">
        <v>144</v>
      </c>
      <c r="C103">
        <v>556</v>
      </c>
    </row>
    <row r="104" spans="1:3" x14ac:dyDescent="0.25">
      <c r="A104" s="14" t="s">
        <v>48</v>
      </c>
      <c r="B104">
        <v>141</v>
      </c>
      <c r="C104">
        <v>559</v>
      </c>
    </row>
    <row r="105" spans="1:3" x14ac:dyDescent="0.25">
      <c r="A105" s="14" t="s">
        <v>78</v>
      </c>
      <c r="B105">
        <v>141</v>
      </c>
      <c r="C105">
        <v>559</v>
      </c>
    </row>
    <row r="106" spans="1:3" x14ac:dyDescent="0.25">
      <c r="A106" s="14" t="s">
        <v>27</v>
      </c>
      <c r="B106">
        <v>141</v>
      </c>
      <c r="C106">
        <v>559</v>
      </c>
    </row>
    <row r="107" spans="1:3" x14ac:dyDescent="0.25">
      <c r="A107" s="14" t="s">
        <v>88</v>
      </c>
      <c r="B107">
        <v>138</v>
      </c>
      <c r="C107">
        <v>562</v>
      </c>
    </row>
    <row r="108" spans="1:3" x14ac:dyDescent="0.25">
      <c r="A108" s="14" t="s">
        <v>80</v>
      </c>
      <c r="B108">
        <v>128</v>
      </c>
      <c r="C108">
        <v>572</v>
      </c>
    </row>
    <row r="109" spans="1:3" x14ac:dyDescent="0.25">
      <c r="A109" s="14" t="s">
        <v>29</v>
      </c>
      <c r="B109">
        <v>128</v>
      </c>
      <c r="C109">
        <v>572</v>
      </c>
    </row>
    <row r="110" spans="1:3" x14ac:dyDescent="0.25">
      <c r="A110" s="14" t="s">
        <v>86</v>
      </c>
      <c r="B110">
        <v>108</v>
      </c>
      <c r="C110">
        <v>592</v>
      </c>
    </row>
    <row r="111" spans="1:3" x14ac:dyDescent="0.25">
      <c r="A111" s="14" t="s">
        <v>96</v>
      </c>
      <c r="B111">
        <v>93</v>
      </c>
      <c r="C111">
        <v>607</v>
      </c>
    </row>
    <row r="112" spans="1:3" x14ac:dyDescent="0.25">
      <c r="A112" s="14" t="s">
        <v>92</v>
      </c>
      <c r="B112">
        <v>78</v>
      </c>
      <c r="C112">
        <v>622</v>
      </c>
    </row>
    <row r="113" spans="1:3" x14ac:dyDescent="0.25">
      <c r="A113" s="14" t="s">
        <v>106</v>
      </c>
      <c r="B113">
        <v>75</v>
      </c>
      <c r="C113">
        <v>625</v>
      </c>
    </row>
    <row r="114" spans="1:3" x14ac:dyDescent="0.25">
      <c r="A114" s="14" t="s">
        <v>103</v>
      </c>
      <c r="B114">
        <v>69</v>
      </c>
      <c r="C114">
        <v>631</v>
      </c>
    </row>
    <row r="115" spans="1:3" x14ac:dyDescent="0.25">
      <c r="A115" s="14" t="s">
        <v>95</v>
      </c>
      <c r="B115">
        <v>57</v>
      </c>
      <c r="C115">
        <v>643</v>
      </c>
    </row>
    <row r="116" spans="1:3" x14ac:dyDescent="0.25">
      <c r="A116" s="14" t="s">
        <v>104</v>
      </c>
      <c r="B116">
        <v>45</v>
      </c>
      <c r="C116">
        <v>655</v>
      </c>
    </row>
    <row r="117" spans="1:3" x14ac:dyDescent="0.25">
      <c r="A117" s="14" t="s">
        <v>81</v>
      </c>
      <c r="B117">
        <v>34</v>
      </c>
      <c r="C117">
        <v>666</v>
      </c>
    </row>
    <row r="118" spans="1:3" x14ac:dyDescent="0.25">
      <c r="A118" s="14" t="s">
        <v>30</v>
      </c>
      <c r="B118">
        <v>34</v>
      </c>
      <c r="C118">
        <v>666</v>
      </c>
    </row>
    <row r="119" spans="1:3" x14ac:dyDescent="0.25">
      <c r="A119" s="14" t="s">
        <v>102</v>
      </c>
      <c r="B119">
        <v>34</v>
      </c>
      <c r="C119">
        <v>666</v>
      </c>
    </row>
    <row r="120" spans="1:3" x14ac:dyDescent="0.25">
      <c r="A120" s="14" t="s">
        <v>84</v>
      </c>
      <c r="B120">
        <v>18</v>
      </c>
      <c r="C120">
        <v>682</v>
      </c>
    </row>
    <row r="121" spans="1:3" x14ac:dyDescent="0.25">
      <c r="A121" s="14" t="s">
        <v>85</v>
      </c>
      <c r="B121">
        <v>8</v>
      </c>
      <c r="C121">
        <v>692</v>
      </c>
    </row>
    <row r="125" spans="1:3" x14ac:dyDescent="0.25">
      <c r="A125" s="13" t="s">
        <v>124</v>
      </c>
      <c r="B125" t="s">
        <v>114</v>
      </c>
      <c r="C125" t="s">
        <v>125</v>
      </c>
    </row>
    <row r="126" spans="1:3" x14ac:dyDescent="0.25">
      <c r="A126" s="14" t="s">
        <v>91</v>
      </c>
      <c r="B126">
        <v>0</v>
      </c>
      <c r="C126">
        <v>0</v>
      </c>
    </row>
    <row r="127" spans="1:3" x14ac:dyDescent="0.25">
      <c r="A127" s="14" t="s">
        <v>81</v>
      </c>
      <c r="B127">
        <v>0</v>
      </c>
      <c r="C127">
        <v>0</v>
      </c>
    </row>
    <row r="128" spans="1:3" x14ac:dyDescent="0.25">
      <c r="A128" s="14" t="s">
        <v>101</v>
      </c>
      <c r="B128">
        <v>0</v>
      </c>
      <c r="C128">
        <v>0</v>
      </c>
    </row>
    <row r="129" spans="1:3" x14ac:dyDescent="0.25">
      <c r="A129" s="14" t="s">
        <v>84</v>
      </c>
      <c r="B129">
        <v>0</v>
      </c>
      <c r="C129">
        <v>0</v>
      </c>
    </row>
    <row r="130" spans="1:3" x14ac:dyDescent="0.25">
      <c r="A130" s="14" t="s">
        <v>104</v>
      </c>
      <c r="B130">
        <v>0</v>
      </c>
      <c r="C130">
        <v>0</v>
      </c>
    </row>
    <row r="131" spans="1:3" x14ac:dyDescent="0.25">
      <c r="A131" s="14" t="s">
        <v>99</v>
      </c>
      <c r="B131">
        <v>0</v>
      </c>
      <c r="C131">
        <v>0</v>
      </c>
    </row>
    <row r="132" spans="1:3" x14ac:dyDescent="0.25">
      <c r="A132" s="14" t="s">
        <v>96</v>
      </c>
      <c r="B132">
        <v>1</v>
      </c>
      <c r="C132">
        <v>1.5</v>
      </c>
    </row>
    <row r="133" spans="1:3" x14ac:dyDescent="0.25">
      <c r="A133" s="14" t="s">
        <v>83</v>
      </c>
      <c r="B133">
        <v>1</v>
      </c>
      <c r="C133">
        <v>1.5</v>
      </c>
    </row>
    <row r="134" spans="1:3" x14ac:dyDescent="0.25">
      <c r="A134" s="14" t="s">
        <v>88</v>
      </c>
      <c r="B134">
        <v>1</v>
      </c>
      <c r="C134">
        <v>1.6</v>
      </c>
    </row>
    <row r="135" spans="1:3" x14ac:dyDescent="0.25">
      <c r="A135" s="14" t="s">
        <v>102</v>
      </c>
      <c r="B135">
        <v>1</v>
      </c>
      <c r="C135">
        <v>1.7</v>
      </c>
    </row>
    <row r="136" spans="1:3" x14ac:dyDescent="0.25">
      <c r="A136" s="14" t="s">
        <v>77</v>
      </c>
      <c r="B136">
        <v>1</v>
      </c>
      <c r="C136">
        <v>1.8</v>
      </c>
    </row>
    <row r="137" spans="1:3" x14ac:dyDescent="0.25">
      <c r="A137" s="14" t="s">
        <v>90</v>
      </c>
      <c r="B137">
        <v>1</v>
      </c>
      <c r="C137">
        <v>1.9</v>
      </c>
    </row>
    <row r="138" spans="1:3" x14ac:dyDescent="0.25">
      <c r="A138" s="14" t="s">
        <v>78</v>
      </c>
      <c r="B138">
        <v>1</v>
      </c>
      <c r="C138">
        <v>1.9</v>
      </c>
    </row>
    <row r="139" spans="1:3" x14ac:dyDescent="0.25">
      <c r="A139" s="14" t="s">
        <v>92</v>
      </c>
      <c r="B139">
        <v>1</v>
      </c>
      <c r="C139">
        <v>2</v>
      </c>
    </row>
    <row r="140" spans="1:3" x14ac:dyDescent="0.25">
      <c r="A140" s="14" t="s">
        <v>105</v>
      </c>
      <c r="B140">
        <v>1</v>
      </c>
      <c r="C140">
        <v>2</v>
      </c>
    </row>
    <row r="141" spans="1:3" x14ac:dyDescent="0.25">
      <c r="A141" s="14" t="s">
        <v>80</v>
      </c>
      <c r="B141">
        <v>1</v>
      </c>
      <c r="C141">
        <v>2</v>
      </c>
    </row>
    <row r="142" spans="1:3" x14ac:dyDescent="0.25">
      <c r="A142" s="14" t="s">
        <v>98</v>
      </c>
      <c r="B142">
        <v>1</v>
      </c>
      <c r="C142">
        <v>2</v>
      </c>
    </row>
    <row r="143" spans="1:3" x14ac:dyDescent="0.25">
      <c r="A143" s="14" t="s">
        <v>87</v>
      </c>
      <c r="B143">
        <v>1</v>
      </c>
      <c r="C143">
        <v>2.1</v>
      </c>
    </row>
    <row r="144" spans="1:3" x14ac:dyDescent="0.25">
      <c r="A144" s="14" t="s">
        <v>93</v>
      </c>
      <c r="B144">
        <v>1</v>
      </c>
      <c r="C144">
        <v>2.1</v>
      </c>
    </row>
    <row r="145" spans="1:3" x14ac:dyDescent="0.25">
      <c r="A145" s="14" t="s">
        <v>100</v>
      </c>
      <c r="B145">
        <v>1</v>
      </c>
      <c r="C145">
        <v>2.1</v>
      </c>
    </row>
    <row r="146" spans="1:3" x14ac:dyDescent="0.25">
      <c r="A146" s="14" t="s">
        <v>79</v>
      </c>
      <c r="B146">
        <v>1</v>
      </c>
      <c r="C146">
        <v>2.2999999999999998</v>
      </c>
    </row>
    <row r="147" spans="1:3" x14ac:dyDescent="0.25">
      <c r="A147" s="14" t="s">
        <v>85</v>
      </c>
      <c r="B147">
        <v>2</v>
      </c>
      <c r="C147">
        <v>3.1</v>
      </c>
    </row>
    <row r="148" spans="1:3" x14ac:dyDescent="0.25">
      <c r="A148" s="14" t="s">
        <v>103</v>
      </c>
      <c r="B148">
        <v>2</v>
      </c>
      <c r="C148">
        <v>3.2</v>
      </c>
    </row>
    <row r="149" spans="1:3" x14ac:dyDescent="0.25">
      <c r="A149" s="14" t="s">
        <v>86</v>
      </c>
      <c r="B149">
        <v>2</v>
      </c>
      <c r="C149">
        <v>3.4</v>
      </c>
    </row>
    <row r="150" spans="1:3" x14ac:dyDescent="0.25">
      <c r="A150" s="14" t="s">
        <v>106</v>
      </c>
      <c r="B150">
        <v>2</v>
      </c>
      <c r="C150">
        <v>4</v>
      </c>
    </row>
    <row r="151" spans="1:3" x14ac:dyDescent="0.25">
      <c r="A151" s="14" t="s">
        <v>97</v>
      </c>
      <c r="B151">
        <v>2</v>
      </c>
      <c r="C151">
        <v>4.0999999999999996</v>
      </c>
    </row>
    <row r="152" spans="1:3" x14ac:dyDescent="0.25">
      <c r="A152" s="14" t="s">
        <v>94</v>
      </c>
      <c r="B152">
        <v>2</v>
      </c>
      <c r="C152">
        <v>4.0999999999999996</v>
      </c>
    </row>
    <row r="153" spans="1:3" x14ac:dyDescent="0.25">
      <c r="A153" s="14" t="s">
        <v>82</v>
      </c>
      <c r="B153">
        <v>2</v>
      </c>
      <c r="C153">
        <v>4.2</v>
      </c>
    </row>
    <row r="154" spans="1:3" x14ac:dyDescent="0.25">
      <c r="A154" s="14" t="s">
        <v>95</v>
      </c>
      <c r="B154">
        <v>2</v>
      </c>
      <c r="C154">
        <v>4.3</v>
      </c>
    </row>
    <row r="155" spans="1:3" x14ac:dyDescent="0.25">
      <c r="A155" s="14" t="s">
        <v>89</v>
      </c>
      <c r="B155">
        <v>2</v>
      </c>
      <c r="C155">
        <v>4.5</v>
      </c>
    </row>
    <row r="156" spans="1:3" x14ac:dyDescent="0.25">
      <c r="A156" s="14" t="s">
        <v>61</v>
      </c>
      <c r="B156">
        <v>3</v>
      </c>
      <c r="C156">
        <v>4.5</v>
      </c>
    </row>
    <row r="157" spans="1:3" x14ac:dyDescent="0.25">
      <c r="A157" s="14" t="s">
        <v>63</v>
      </c>
      <c r="B157">
        <v>3</v>
      </c>
      <c r="C157">
        <v>4.9000000000000004</v>
      </c>
    </row>
    <row r="158" spans="1:3" x14ac:dyDescent="0.25">
      <c r="A158" s="14" t="s">
        <v>64</v>
      </c>
      <c r="B158">
        <v>3</v>
      </c>
      <c r="C158">
        <v>5.2</v>
      </c>
    </row>
    <row r="159" spans="1:3" x14ac:dyDescent="0.25">
      <c r="A159" s="14" t="s">
        <v>56</v>
      </c>
      <c r="B159">
        <v>3</v>
      </c>
      <c r="C159">
        <v>5.3</v>
      </c>
    </row>
    <row r="160" spans="1:3" x14ac:dyDescent="0.25">
      <c r="A160" s="14" t="s">
        <v>75</v>
      </c>
      <c r="B160">
        <v>3</v>
      </c>
      <c r="C160">
        <v>5.5</v>
      </c>
    </row>
    <row r="161" spans="1:3" x14ac:dyDescent="0.25">
      <c r="A161" s="14" t="s">
        <v>70</v>
      </c>
      <c r="B161">
        <v>3</v>
      </c>
      <c r="C161">
        <v>5.6</v>
      </c>
    </row>
    <row r="162" spans="1:3" x14ac:dyDescent="0.25">
      <c r="A162" s="14" t="s">
        <v>60</v>
      </c>
      <c r="B162">
        <v>3</v>
      </c>
      <c r="C162">
        <v>5.8</v>
      </c>
    </row>
    <row r="163" spans="1:3" x14ac:dyDescent="0.25">
      <c r="A163" s="14" t="s">
        <v>54</v>
      </c>
      <c r="B163">
        <v>3</v>
      </c>
      <c r="C163">
        <v>5.9</v>
      </c>
    </row>
    <row r="164" spans="1:3" x14ac:dyDescent="0.25">
      <c r="A164" s="14" t="s">
        <v>53</v>
      </c>
      <c r="B164">
        <v>3</v>
      </c>
      <c r="C164">
        <v>6.2</v>
      </c>
    </row>
    <row r="165" spans="1:3" x14ac:dyDescent="0.25">
      <c r="A165" s="14" t="s">
        <v>51</v>
      </c>
      <c r="B165">
        <v>3</v>
      </c>
      <c r="C165">
        <v>6.2</v>
      </c>
    </row>
    <row r="166" spans="1:3" x14ac:dyDescent="0.25">
      <c r="A166" s="14" t="s">
        <v>72</v>
      </c>
      <c r="B166">
        <v>3</v>
      </c>
      <c r="C166">
        <v>6.3</v>
      </c>
    </row>
    <row r="167" spans="1:3" x14ac:dyDescent="0.25">
      <c r="A167" s="14" t="s">
        <v>67</v>
      </c>
      <c r="B167">
        <v>7</v>
      </c>
      <c r="C167">
        <v>6.6499999999999995</v>
      </c>
    </row>
    <row r="168" spans="1:3" x14ac:dyDescent="0.25">
      <c r="A168" s="14" t="s">
        <v>62</v>
      </c>
      <c r="B168">
        <v>4</v>
      </c>
      <c r="C168">
        <v>6.7</v>
      </c>
    </row>
    <row r="169" spans="1:3" x14ac:dyDescent="0.25">
      <c r="A169" s="14" t="s">
        <v>69</v>
      </c>
      <c r="B169">
        <v>4</v>
      </c>
      <c r="C169">
        <v>6.7</v>
      </c>
    </row>
    <row r="170" spans="1:3" x14ac:dyDescent="0.25">
      <c r="A170" s="14" t="s">
        <v>66</v>
      </c>
      <c r="B170">
        <v>4</v>
      </c>
      <c r="C170">
        <v>7.2</v>
      </c>
    </row>
    <row r="171" spans="1:3" x14ac:dyDescent="0.25">
      <c r="A171" s="14" t="s">
        <v>55</v>
      </c>
      <c r="B171">
        <v>4</v>
      </c>
      <c r="C171">
        <v>7.7</v>
      </c>
    </row>
    <row r="172" spans="1:3" x14ac:dyDescent="0.25">
      <c r="A172" s="14" t="s">
        <v>65</v>
      </c>
      <c r="B172">
        <v>5</v>
      </c>
      <c r="C172">
        <v>8</v>
      </c>
    </row>
    <row r="173" spans="1:3" x14ac:dyDescent="0.25">
      <c r="A173" s="14" t="s">
        <v>73</v>
      </c>
      <c r="B173">
        <v>4</v>
      </c>
      <c r="C173">
        <v>8.1</v>
      </c>
    </row>
    <row r="174" spans="1:3" x14ac:dyDescent="0.25">
      <c r="A174" s="14" t="s">
        <v>50</v>
      </c>
      <c r="B174">
        <v>9</v>
      </c>
      <c r="C174">
        <v>8.3000000000000007</v>
      </c>
    </row>
    <row r="175" spans="1:3" x14ac:dyDescent="0.25">
      <c r="A175" s="14" t="s">
        <v>57</v>
      </c>
      <c r="B175">
        <v>5</v>
      </c>
      <c r="C175">
        <v>8.6</v>
      </c>
    </row>
    <row r="176" spans="1:3" x14ac:dyDescent="0.25">
      <c r="A176" s="14" t="s">
        <v>68</v>
      </c>
      <c r="B176">
        <v>5</v>
      </c>
      <c r="C176">
        <v>8.6</v>
      </c>
    </row>
    <row r="177" spans="1:3" x14ac:dyDescent="0.25">
      <c r="A177" s="14" t="s">
        <v>59</v>
      </c>
      <c r="B177">
        <v>4</v>
      </c>
      <c r="C177">
        <v>8.6</v>
      </c>
    </row>
    <row r="178" spans="1:3" x14ac:dyDescent="0.25">
      <c r="A178" s="14" t="s">
        <v>32</v>
      </c>
      <c r="B178">
        <v>11</v>
      </c>
      <c r="C178">
        <v>8.9499999999999993</v>
      </c>
    </row>
    <row r="179" spans="1:3" x14ac:dyDescent="0.25">
      <c r="A179" s="14" t="s">
        <v>15</v>
      </c>
      <c r="B179">
        <v>6</v>
      </c>
      <c r="C179">
        <v>9</v>
      </c>
    </row>
    <row r="180" spans="1:3" x14ac:dyDescent="0.25">
      <c r="A180" s="14" t="s">
        <v>52</v>
      </c>
      <c r="B180">
        <v>4</v>
      </c>
      <c r="C180">
        <v>9.1</v>
      </c>
    </row>
    <row r="181" spans="1:3" x14ac:dyDescent="0.25">
      <c r="A181" s="14" t="s">
        <v>76</v>
      </c>
      <c r="B181">
        <v>5</v>
      </c>
      <c r="C181">
        <v>9.4</v>
      </c>
    </row>
    <row r="182" spans="1:3" x14ac:dyDescent="0.25">
      <c r="A182" s="14" t="s">
        <v>42</v>
      </c>
      <c r="B182">
        <v>6</v>
      </c>
      <c r="C182">
        <v>9.5</v>
      </c>
    </row>
    <row r="183" spans="1:3" x14ac:dyDescent="0.25">
      <c r="A183" s="14" t="s">
        <v>26</v>
      </c>
      <c r="B183">
        <v>6</v>
      </c>
      <c r="C183">
        <v>9.5</v>
      </c>
    </row>
    <row r="184" spans="1:3" x14ac:dyDescent="0.25">
      <c r="A184" s="14" t="s">
        <v>43</v>
      </c>
      <c r="B184">
        <v>6</v>
      </c>
      <c r="C184">
        <v>9.6999999999999993</v>
      </c>
    </row>
    <row r="185" spans="1:3" x14ac:dyDescent="0.25">
      <c r="A185" s="14" t="s">
        <v>13</v>
      </c>
      <c r="B185">
        <v>6</v>
      </c>
      <c r="C185">
        <v>9.9</v>
      </c>
    </row>
    <row r="186" spans="1:3" x14ac:dyDescent="0.25">
      <c r="A186" s="14" t="s">
        <v>71</v>
      </c>
      <c r="B186">
        <v>5</v>
      </c>
      <c r="C186">
        <v>10</v>
      </c>
    </row>
    <row r="187" spans="1:3" x14ac:dyDescent="0.25">
      <c r="A187" s="14" t="s">
        <v>37</v>
      </c>
      <c r="B187">
        <v>6</v>
      </c>
      <c r="C187">
        <v>10.1</v>
      </c>
    </row>
    <row r="188" spans="1:3" x14ac:dyDescent="0.25">
      <c r="A188" s="14" t="s">
        <v>33</v>
      </c>
      <c r="B188">
        <v>6</v>
      </c>
      <c r="C188">
        <v>10.3</v>
      </c>
    </row>
    <row r="189" spans="1:3" x14ac:dyDescent="0.25">
      <c r="A189" s="14" t="s">
        <v>31</v>
      </c>
      <c r="B189">
        <v>13</v>
      </c>
      <c r="C189">
        <v>10.649999999999999</v>
      </c>
    </row>
    <row r="190" spans="1:3" x14ac:dyDescent="0.25">
      <c r="A190" s="14" t="s">
        <v>14</v>
      </c>
      <c r="B190">
        <v>6</v>
      </c>
      <c r="C190">
        <v>10.7</v>
      </c>
    </row>
    <row r="191" spans="1:3" x14ac:dyDescent="0.25">
      <c r="A191" s="14" t="s">
        <v>74</v>
      </c>
      <c r="B191">
        <v>5</v>
      </c>
      <c r="C191">
        <v>10.7</v>
      </c>
    </row>
    <row r="192" spans="1:3" x14ac:dyDescent="0.25">
      <c r="A192" s="14" t="s">
        <v>28</v>
      </c>
      <c r="B192">
        <v>7</v>
      </c>
      <c r="C192">
        <v>10.8</v>
      </c>
    </row>
    <row r="193" spans="1:3" x14ac:dyDescent="0.25">
      <c r="A193" s="14" t="s">
        <v>58</v>
      </c>
      <c r="B193">
        <v>5</v>
      </c>
      <c r="C193">
        <v>11</v>
      </c>
    </row>
    <row r="194" spans="1:3" x14ac:dyDescent="0.25">
      <c r="A194" s="14" t="s">
        <v>27</v>
      </c>
      <c r="B194">
        <v>6</v>
      </c>
      <c r="C194">
        <v>11.1</v>
      </c>
    </row>
    <row r="195" spans="1:3" x14ac:dyDescent="0.25">
      <c r="A195" s="14" t="s">
        <v>47</v>
      </c>
      <c r="B195">
        <v>6</v>
      </c>
      <c r="C195">
        <v>11.3</v>
      </c>
    </row>
    <row r="196" spans="1:3" x14ac:dyDescent="0.25">
      <c r="A196" s="14" t="s">
        <v>22</v>
      </c>
      <c r="B196">
        <v>7</v>
      </c>
      <c r="C196">
        <v>11.3</v>
      </c>
    </row>
    <row r="197" spans="1:3" x14ac:dyDescent="0.25">
      <c r="A197" s="14" t="s">
        <v>21</v>
      </c>
      <c r="B197">
        <v>13</v>
      </c>
      <c r="C197">
        <v>11.65</v>
      </c>
    </row>
    <row r="198" spans="1:3" x14ac:dyDescent="0.25">
      <c r="A198" s="14" t="s">
        <v>25</v>
      </c>
      <c r="B198">
        <v>6</v>
      </c>
      <c r="C198">
        <v>11.8</v>
      </c>
    </row>
    <row r="199" spans="1:3" x14ac:dyDescent="0.25">
      <c r="A199" s="14" t="s">
        <v>41</v>
      </c>
      <c r="B199">
        <v>6</v>
      </c>
      <c r="C199">
        <v>11.9</v>
      </c>
    </row>
    <row r="200" spans="1:3" x14ac:dyDescent="0.25">
      <c r="A200" s="14" t="s">
        <v>29</v>
      </c>
      <c r="B200">
        <v>7</v>
      </c>
      <c r="C200">
        <v>12.1</v>
      </c>
    </row>
    <row r="201" spans="1:3" x14ac:dyDescent="0.25">
      <c r="A201" s="14" t="s">
        <v>46</v>
      </c>
      <c r="B201">
        <v>6</v>
      </c>
      <c r="C201">
        <v>12.3</v>
      </c>
    </row>
    <row r="202" spans="1:3" x14ac:dyDescent="0.25">
      <c r="A202" s="14" t="s">
        <v>16</v>
      </c>
      <c r="B202">
        <v>6</v>
      </c>
      <c r="C202">
        <v>13</v>
      </c>
    </row>
    <row r="203" spans="1:3" x14ac:dyDescent="0.25">
      <c r="A203" s="14" t="s">
        <v>36</v>
      </c>
      <c r="B203">
        <v>6</v>
      </c>
      <c r="C203">
        <v>13</v>
      </c>
    </row>
    <row r="204" spans="1:3" x14ac:dyDescent="0.25">
      <c r="A204" s="14" t="s">
        <v>20</v>
      </c>
      <c r="B204">
        <v>7</v>
      </c>
      <c r="C204">
        <v>13.1</v>
      </c>
    </row>
    <row r="205" spans="1:3" x14ac:dyDescent="0.25">
      <c r="A205" s="14" t="s">
        <v>45</v>
      </c>
      <c r="B205">
        <v>6</v>
      </c>
      <c r="C205">
        <v>13.3</v>
      </c>
    </row>
    <row r="206" spans="1:3" x14ac:dyDescent="0.25">
      <c r="A206" s="14" t="s">
        <v>39</v>
      </c>
      <c r="B206">
        <v>6</v>
      </c>
      <c r="C206">
        <v>13.3</v>
      </c>
    </row>
    <row r="207" spans="1:3" x14ac:dyDescent="0.25">
      <c r="A207" s="14" t="s">
        <v>12</v>
      </c>
      <c r="B207">
        <v>7</v>
      </c>
      <c r="C207">
        <v>13.4</v>
      </c>
    </row>
    <row r="208" spans="1:3" x14ac:dyDescent="0.25">
      <c r="A208" s="14" t="s">
        <v>35</v>
      </c>
      <c r="B208">
        <v>7</v>
      </c>
      <c r="C208">
        <v>13.5</v>
      </c>
    </row>
    <row r="209" spans="1:3" x14ac:dyDescent="0.25">
      <c r="A209" s="14" t="s">
        <v>17</v>
      </c>
      <c r="B209">
        <v>7</v>
      </c>
      <c r="C209">
        <v>13.8</v>
      </c>
    </row>
    <row r="210" spans="1:3" x14ac:dyDescent="0.25">
      <c r="A210" s="14" t="s">
        <v>24</v>
      </c>
      <c r="B210">
        <v>7</v>
      </c>
      <c r="C210">
        <v>14.3</v>
      </c>
    </row>
    <row r="211" spans="1:3" x14ac:dyDescent="0.25">
      <c r="A211" s="14" t="s">
        <v>34</v>
      </c>
      <c r="B211">
        <v>7</v>
      </c>
      <c r="C211">
        <v>14.4</v>
      </c>
    </row>
    <row r="212" spans="1:3" x14ac:dyDescent="0.25">
      <c r="A212" s="14" t="s">
        <v>23</v>
      </c>
      <c r="B212">
        <v>7</v>
      </c>
      <c r="C212">
        <v>14.7</v>
      </c>
    </row>
    <row r="213" spans="1:3" x14ac:dyDescent="0.25">
      <c r="A213" s="14" t="s">
        <v>30</v>
      </c>
      <c r="B213">
        <v>7</v>
      </c>
      <c r="C213">
        <v>14.7</v>
      </c>
    </row>
    <row r="214" spans="1:3" x14ac:dyDescent="0.25">
      <c r="A214" s="14" t="s">
        <v>44</v>
      </c>
      <c r="B214">
        <v>7</v>
      </c>
      <c r="C214">
        <v>14.8</v>
      </c>
    </row>
    <row r="215" spans="1:3" x14ac:dyDescent="0.25">
      <c r="A215" s="14" t="s">
        <v>40</v>
      </c>
      <c r="B215">
        <v>7</v>
      </c>
      <c r="C215">
        <v>15</v>
      </c>
    </row>
    <row r="216" spans="1:3" x14ac:dyDescent="0.25">
      <c r="A216" s="14" t="s">
        <v>49</v>
      </c>
      <c r="B216">
        <v>7</v>
      </c>
      <c r="C216">
        <v>15.3</v>
      </c>
    </row>
    <row r="217" spans="1:3" x14ac:dyDescent="0.25">
      <c r="A217" s="14" t="s">
        <v>48</v>
      </c>
      <c r="B217">
        <v>7</v>
      </c>
      <c r="C217">
        <v>15.5</v>
      </c>
    </row>
    <row r="218" spans="1:3" x14ac:dyDescent="0.25">
      <c r="A218" s="14" t="s">
        <v>19</v>
      </c>
      <c r="B218">
        <v>7</v>
      </c>
      <c r="C218">
        <v>15.7</v>
      </c>
    </row>
    <row r="219" spans="1:3" x14ac:dyDescent="0.25">
      <c r="A219" s="14" t="s">
        <v>18</v>
      </c>
      <c r="B219">
        <v>7</v>
      </c>
      <c r="C219">
        <v>15.8</v>
      </c>
    </row>
    <row r="220" spans="1:3" x14ac:dyDescent="0.25">
      <c r="A220" s="14" t="s">
        <v>38</v>
      </c>
      <c r="B220">
        <v>7</v>
      </c>
      <c r="C220">
        <v>15.9</v>
      </c>
    </row>
  </sheetData>
  <conditionalFormatting sqref="A25:B26 A27:A121">
    <cfRule type="top10" dxfId="14" priority="4" rank="10"/>
  </conditionalFormatting>
  <conditionalFormatting sqref="A25:B121">
    <cfRule type="top10" dxfId="13" priority="3" rank="25"/>
  </conditionalFormatting>
  <conditionalFormatting sqref="A124:C125 A126:A220">
    <cfRule type="top10" dxfId="12" priority="2" rank="20"/>
    <cfRule type="top10" dxfId="11" priority="5" bottom="1" rank="10"/>
  </conditionalFormatting>
  <conditionalFormatting sqref="C124:C220">
    <cfRule type="top10" dxfId="10" priority="1" bottom="1" rank="20"/>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726D-E8F4-4235-96AA-E6C63E29C9FD}">
  <dimension ref="B5:O118"/>
  <sheetViews>
    <sheetView showGridLines="0" tabSelected="1" topLeftCell="D1" workbookViewId="0">
      <selection activeCell="D25" sqref="D25"/>
    </sheetView>
  </sheetViews>
  <sheetFormatPr defaultRowHeight="15" x14ac:dyDescent="0.25"/>
  <cols>
    <col min="2" max="2" width="16.5703125" bestFit="1" customWidth="1"/>
    <col min="3" max="3" width="24.7109375" bestFit="1" customWidth="1"/>
    <col min="4" max="4" width="20.42578125" bestFit="1" customWidth="1"/>
    <col min="7" max="7" width="16.5703125" bestFit="1" customWidth="1"/>
    <col min="8" max="8" width="18.42578125" bestFit="1" customWidth="1"/>
    <col min="9" max="9" width="34.140625" bestFit="1" customWidth="1"/>
  </cols>
  <sheetData>
    <row r="5" spans="3:15" ht="31.5" x14ac:dyDescent="0.5">
      <c r="C5" s="21">
        <f>GETPIVOTDATA("Sum of Amount Paid (KES)",'PIVOT TABLES'!$A$12)</f>
        <v>32654</v>
      </c>
      <c r="D5" s="16"/>
      <c r="G5" s="18">
        <f>GETPIVOTDATA("Sum of ARREAS",'PIVOT TABLES'!$A$12)</f>
        <v>24746</v>
      </c>
      <c r="J5" s="17">
        <f>GETPIVOTDATA("Average of Rate of payment%",'PIVOT TABLES'!$A$12)</f>
        <v>56.888501742160258</v>
      </c>
      <c r="M5" s="19">
        <f>GETPIVOTDATA("Average of Total kWh Used (Weekly)",'PIVOT TABLES'!$A$12)</f>
        <v>7.5426829268292694</v>
      </c>
      <c r="O5" s="18">
        <f>GETPIVOTDATA("Sum of Active Days",'PIVOT TABLES'!$A$12)</f>
        <v>327</v>
      </c>
    </row>
    <row r="22" spans="2:9" x14ac:dyDescent="0.25">
      <c r="B22" s="13" t="s">
        <v>129</v>
      </c>
      <c r="C22" t="s">
        <v>118</v>
      </c>
      <c r="D22" t="s">
        <v>130</v>
      </c>
    </row>
    <row r="23" spans="2:9" x14ac:dyDescent="0.25">
      <c r="B23" s="14" t="s">
        <v>31</v>
      </c>
      <c r="C23" s="15">
        <v>1400</v>
      </c>
      <c r="D23" s="15">
        <v>0</v>
      </c>
      <c r="G23" s="13" t="s">
        <v>124</v>
      </c>
      <c r="H23" t="s">
        <v>114</v>
      </c>
      <c r="I23" t="s">
        <v>125</v>
      </c>
    </row>
    <row r="24" spans="2:9" x14ac:dyDescent="0.25">
      <c r="B24" s="14" t="s">
        <v>21</v>
      </c>
      <c r="C24" s="15">
        <v>1214</v>
      </c>
      <c r="D24" s="15">
        <v>186</v>
      </c>
      <c r="G24" s="14" t="s">
        <v>21</v>
      </c>
      <c r="H24" s="15">
        <v>13</v>
      </c>
      <c r="I24" s="15">
        <v>11.65</v>
      </c>
    </row>
    <row r="25" spans="2:9" x14ac:dyDescent="0.25">
      <c r="B25" s="14" t="s">
        <v>67</v>
      </c>
      <c r="C25" s="15">
        <v>1115</v>
      </c>
      <c r="D25" s="15">
        <v>285</v>
      </c>
      <c r="G25" s="14" t="s">
        <v>31</v>
      </c>
      <c r="H25" s="15">
        <v>13</v>
      </c>
      <c r="I25" s="15">
        <v>10.649999999999999</v>
      </c>
    </row>
    <row r="26" spans="2:9" x14ac:dyDescent="0.25">
      <c r="B26" s="14" t="s">
        <v>32</v>
      </c>
      <c r="C26" s="15">
        <v>828</v>
      </c>
      <c r="D26" s="15">
        <v>572</v>
      </c>
      <c r="G26" s="14" t="s">
        <v>32</v>
      </c>
      <c r="H26" s="15">
        <v>11</v>
      </c>
      <c r="I26" s="15">
        <v>8.9499999999999993</v>
      </c>
    </row>
    <row r="27" spans="2:9" x14ac:dyDescent="0.25">
      <c r="B27" s="14" t="s">
        <v>33</v>
      </c>
      <c r="C27" s="15">
        <v>700</v>
      </c>
      <c r="D27" s="15">
        <v>0</v>
      </c>
      <c r="G27" s="14" t="s">
        <v>50</v>
      </c>
      <c r="H27" s="15">
        <v>9</v>
      </c>
      <c r="I27" s="15">
        <v>8.3000000000000007</v>
      </c>
    </row>
    <row r="28" spans="2:9" x14ac:dyDescent="0.25">
      <c r="B28" s="14" t="s">
        <v>13</v>
      </c>
      <c r="C28" s="15">
        <v>650</v>
      </c>
      <c r="D28" s="15">
        <v>50</v>
      </c>
      <c r="G28" s="14" t="s">
        <v>48</v>
      </c>
      <c r="H28" s="15">
        <v>7</v>
      </c>
      <c r="I28" s="15">
        <v>15.5</v>
      </c>
    </row>
    <row r="29" spans="2:9" x14ac:dyDescent="0.25">
      <c r="B29" s="14" t="s">
        <v>35</v>
      </c>
      <c r="C29" s="15">
        <v>650</v>
      </c>
      <c r="D29" s="15">
        <v>50</v>
      </c>
      <c r="G29" s="14" t="s">
        <v>18</v>
      </c>
      <c r="H29" s="15">
        <v>7</v>
      </c>
      <c r="I29" s="15">
        <v>15.8</v>
      </c>
    </row>
    <row r="30" spans="2:9" x14ac:dyDescent="0.25">
      <c r="B30" s="14" t="s">
        <v>55</v>
      </c>
      <c r="C30" s="15">
        <v>650</v>
      </c>
      <c r="D30" s="15">
        <v>50</v>
      </c>
      <c r="G30" s="14" t="s">
        <v>24</v>
      </c>
      <c r="H30" s="15">
        <v>7</v>
      </c>
      <c r="I30" s="15">
        <v>14.3</v>
      </c>
    </row>
    <row r="31" spans="2:9" x14ac:dyDescent="0.25">
      <c r="B31" s="14" t="s">
        <v>43</v>
      </c>
      <c r="C31" s="15">
        <v>649</v>
      </c>
      <c r="D31" s="15">
        <v>51</v>
      </c>
      <c r="G31" s="14" t="s">
        <v>28</v>
      </c>
      <c r="H31" s="15">
        <v>7</v>
      </c>
      <c r="I31" s="15">
        <v>10.8</v>
      </c>
    </row>
    <row r="32" spans="2:9" x14ac:dyDescent="0.25">
      <c r="B32" s="14" t="s">
        <v>68</v>
      </c>
      <c r="C32" s="15">
        <v>649</v>
      </c>
      <c r="D32" s="15">
        <v>51</v>
      </c>
      <c r="G32" s="14" t="s">
        <v>29</v>
      </c>
      <c r="H32" s="15">
        <v>7</v>
      </c>
      <c r="I32" s="15">
        <v>12.1</v>
      </c>
    </row>
    <row r="33" spans="2:9" x14ac:dyDescent="0.25">
      <c r="B33" s="14" t="s">
        <v>40</v>
      </c>
      <c r="C33" s="15">
        <v>647</v>
      </c>
      <c r="D33" s="15">
        <v>53</v>
      </c>
      <c r="G33" s="14" t="s">
        <v>40</v>
      </c>
      <c r="H33" s="15">
        <v>7</v>
      </c>
      <c r="I33" s="15">
        <v>15</v>
      </c>
    </row>
    <row r="34" spans="2:9" x14ac:dyDescent="0.25">
      <c r="B34" s="14" t="s">
        <v>18</v>
      </c>
      <c r="C34" s="15">
        <v>647</v>
      </c>
      <c r="D34" s="15">
        <v>53</v>
      </c>
      <c r="G34" s="14" t="s">
        <v>67</v>
      </c>
      <c r="H34" s="15">
        <v>7</v>
      </c>
      <c r="I34" s="15">
        <v>6.6499999999999995</v>
      </c>
    </row>
    <row r="35" spans="2:9" x14ac:dyDescent="0.25">
      <c r="B35" s="14" t="s">
        <v>60</v>
      </c>
      <c r="C35" s="15">
        <v>647</v>
      </c>
      <c r="D35" s="15">
        <v>53</v>
      </c>
      <c r="G35" s="14" t="s">
        <v>49</v>
      </c>
      <c r="H35" s="15">
        <v>7</v>
      </c>
      <c r="I35" s="15">
        <v>15.3</v>
      </c>
    </row>
    <row r="36" spans="2:9" x14ac:dyDescent="0.25">
      <c r="B36" s="14" t="s">
        <v>65</v>
      </c>
      <c r="C36" s="15">
        <v>612</v>
      </c>
      <c r="D36" s="15">
        <v>88</v>
      </c>
      <c r="G36" s="14" t="s">
        <v>44</v>
      </c>
      <c r="H36" s="15">
        <v>7</v>
      </c>
      <c r="I36" s="15">
        <v>14.8</v>
      </c>
    </row>
    <row r="37" spans="2:9" x14ac:dyDescent="0.25">
      <c r="B37" s="14" t="s">
        <v>17</v>
      </c>
      <c r="C37" s="15">
        <v>609</v>
      </c>
      <c r="D37" s="15">
        <v>91</v>
      </c>
      <c r="G37" s="14" t="s">
        <v>22</v>
      </c>
      <c r="H37" s="15">
        <v>7</v>
      </c>
      <c r="I37" s="15">
        <v>11.3</v>
      </c>
    </row>
    <row r="38" spans="2:9" x14ac:dyDescent="0.25">
      <c r="B38" s="14" t="s">
        <v>37</v>
      </c>
      <c r="C38" s="15">
        <v>609</v>
      </c>
      <c r="D38" s="15">
        <v>91</v>
      </c>
      <c r="G38" s="14" t="s">
        <v>23</v>
      </c>
      <c r="H38" s="15">
        <v>7</v>
      </c>
      <c r="I38" s="15">
        <v>14.7</v>
      </c>
    </row>
    <row r="39" spans="2:9" x14ac:dyDescent="0.25">
      <c r="B39" s="14" t="s">
        <v>39</v>
      </c>
      <c r="C39" s="15">
        <v>609</v>
      </c>
      <c r="D39" s="15">
        <v>91</v>
      </c>
      <c r="G39" s="14" t="s">
        <v>34</v>
      </c>
      <c r="H39" s="15">
        <v>7</v>
      </c>
      <c r="I39" s="15">
        <v>14.4</v>
      </c>
    </row>
    <row r="40" spans="2:9" x14ac:dyDescent="0.25">
      <c r="B40" s="14" t="s">
        <v>15</v>
      </c>
      <c r="C40" s="15">
        <v>609</v>
      </c>
      <c r="D40" s="15">
        <v>91</v>
      </c>
      <c r="G40" s="14" t="s">
        <v>17</v>
      </c>
      <c r="H40" s="15">
        <v>7</v>
      </c>
      <c r="I40" s="15">
        <v>13.8</v>
      </c>
    </row>
    <row r="41" spans="2:9" x14ac:dyDescent="0.25">
      <c r="B41" s="14" t="s">
        <v>57</v>
      </c>
      <c r="C41" s="15">
        <v>609</v>
      </c>
      <c r="D41" s="15">
        <v>91</v>
      </c>
      <c r="G41" s="14" t="s">
        <v>38</v>
      </c>
      <c r="H41" s="15">
        <v>7</v>
      </c>
      <c r="I41" s="15">
        <v>15.9</v>
      </c>
    </row>
    <row r="42" spans="2:9" x14ac:dyDescent="0.25">
      <c r="B42" s="14" t="s">
        <v>59</v>
      </c>
      <c r="C42" s="15">
        <v>609</v>
      </c>
      <c r="D42" s="15">
        <v>91</v>
      </c>
      <c r="G42" s="14" t="s">
        <v>12</v>
      </c>
      <c r="H42" s="15">
        <v>7</v>
      </c>
      <c r="I42" s="15">
        <v>13.4</v>
      </c>
    </row>
    <row r="43" spans="2:9" x14ac:dyDescent="0.25">
      <c r="B43" s="14" t="s">
        <v>71</v>
      </c>
      <c r="C43" s="15">
        <v>593</v>
      </c>
      <c r="D43" s="15">
        <v>107</v>
      </c>
      <c r="G43" s="14" t="s">
        <v>20</v>
      </c>
      <c r="H43" s="15">
        <v>7</v>
      </c>
      <c r="I43" s="15">
        <v>13.1</v>
      </c>
    </row>
    <row r="44" spans="2:9" x14ac:dyDescent="0.25">
      <c r="B44" s="14" t="s">
        <v>50</v>
      </c>
      <c r="C44" s="15">
        <v>592</v>
      </c>
      <c r="D44" s="15">
        <v>808</v>
      </c>
      <c r="G44" s="14" t="s">
        <v>30</v>
      </c>
      <c r="H44" s="15">
        <v>7</v>
      </c>
      <c r="I44" s="15">
        <v>14.7</v>
      </c>
    </row>
    <row r="45" spans="2:9" x14ac:dyDescent="0.25">
      <c r="B45" s="14" t="s">
        <v>22</v>
      </c>
      <c r="C45" s="15">
        <v>565</v>
      </c>
      <c r="D45" s="15">
        <v>135</v>
      </c>
      <c r="G45" s="14" t="s">
        <v>19</v>
      </c>
      <c r="H45" s="15">
        <v>7</v>
      </c>
      <c r="I45" s="15">
        <v>15.7</v>
      </c>
    </row>
    <row r="46" spans="2:9" x14ac:dyDescent="0.25">
      <c r="B46" s="14" t="s">
        <v>75</v>
      </c>
      <c r="C46" s="15">
        <v>564</v>
      </c>
      <c r="D46" s="15">
        <v>136</v>
      </c>
      <c r="G46" s="14" t="s">
        <v>35</v>
      </c>
      <c r="H46" s="15">
        <v>7</v>
      </c>
      <c r="I46" s="15">
        <v>13.5</v>
      </c>
    </row>
    <row r="47" spans="2:9" x14ac:dyDescent="0.25">
      <c r="B47" s="14" t="s">
        <v>19</v>
      </c>
      <c r="C47" s="15">
        <v>559</v>
      </c>
      <c r="D47" s="15">
        <v>141</v>
      </c>
      <c r="G47" s="14" t="s">
        <v>36</v>
      </c>
      <c r="H47" s="15">
        <v>6</v>
      </c>
      <c r="I47" s="15">
        <v>13</v>
      </c>
    </row>
    <row r="48" spans="2:9" x14ac:dyDescent="0.25">
      <c r="B48" s="14" t="s">
        <v>66</v>
      </c>
      <c r="C48" s="15">
        <v>559</v>
      </c>
      <c r="D48" s="15">
        <v>141</v>
      </c>
      <c r="G48" s="14" t="s">
        <v>45</v>
      </c>
      <c r="H48" s="15">
        <v>6</v>
      </c>
      <c r="I48" s="15">
        <v>13.3</v>
      </c>
    </row>
    <row r="49" spans="2:9" x14ac:dyDescent="0.25">
      <c r="B49" s="14" t="s">
        <v>41</v>
      </c>
      <c r="C49" s="15">
        <v>559</v>
      </c>
      <c r="D49" s="15">
        <v>141</v>
      </c>
      <c r="G49" s="14" t="s">
        <v>25</v>
      </c>
      <c r="H49" s="15">
        <v>6</v>
      </c>
      <c r="I49" s="15">
        <v>11.8</v>
      </c>
    </row>
    <row r="50" spans="2:9" x14ac:dyDescent="0.25">
      <c r="B50" s="14" t="s">
        <v>36</v>
      </c>
      <c r="C50" s="15">
        <v>558</v>
      </c>
      <c r="D50" s="15">
        <v>142</v>
      </c>
      <c r="G50" s="14" t="s">
        <v>41</v>
      </c>
      <c r="H50" s="15">
        <v>6</v>
      </c>
      <c r="I50" s="15">
        <v>11.9</v>
      </c>
    </row>
    <row r="51" spans="2:9" x14ac:dyDescent="0.25">
      <c r="B51" s="14" t="s">
        <v>14</v>
      </c>
      <c r="C51" s="15">
        <v>558</v>
      </c>
      <c r="D51" s="15">
        <v>142</v>
      </c>
      <c r="G51" s="14" t="s">
        <v>39</v>
      </c>
      <c r="H51" s="15">
        <v>6</v>
      </c>
      <c r="I51" s="15">
        <v>13.3</v>
      </c>
    </row>
    <row r="52" spans="2:9" x14ac:dyDescent="0.25">
      <c r="B52" s="14" t="s">
        <v>56</v>
      </c>
      <c r="C52" s="15">
        <v>558</v>
      </c>
      <c r="D52" s="15">
        <v>142</v>
      </c>
      <c r="G52" s="14" t="s">
        <v>14</v>
      </c>
      <c r="H52" s="15">
        <v>6</v>
      </c>
      <c r="I52" s="15">
        <v>10.7</v>
      </c>
    </row>
    <row r="53" spans="2:9" x14ac:dyDescent="0.25">
      <c r="B53" s="14" t="s">
        <v>20</v>
      </c>
      <c r="C53" s="15">
        <v>550</v>
      </c>
      <c r="D53" s="15">
        <v>150</v>
      </c>
      <c r="G53" s="14" t="s">
        <v>13</v>
      </c>
      <c r="H53" s="15">
        <v>6</v>
      </c>
      <c r="I53" s="15">
        <v>9.9</v>
      </c>
    </row>
    <row r="54" spans="2:9" x14ac:dyDescent="0.25">
      <c r="B54" s="14" t="s">
        <v>42</v>
      </c>
      <c r="C54" s="15">
        <v>550</v>
      </c>
      <c r="D54" s="15">
        <v>150</v>
      </c>
      <c r="G54" s="14" t="s">
        <v>37</v>
      </c>
      <c r="H54" s="15">
        <v>6</v>
      </c>
      <c r="I54" s="15">
        <v>10.1</v>
      </c>
    </row>
    <row r="55" spans="2:9" x14ac:dyDescent="0.25">
      <c r="B55" s="14" t="s">
        <v>62</v>
      </c>
      <c r="C55" s="15">
        <v>548</v>
      </c>
      <c r="D55" s="15">
        <v>152</v>
      </c>
      <c r="G55" s="14" t="s">
        <v>16</v>
      </c>
      <c r="H55" s="15">
        <v>6</v>
      </c>
      <c r="I55" s="15">
        <v>13</v>
      </c>
    </row>
    <row r="56" spans="2:9" x14ac:dyDescent="0.25">
      <c r="B56" s="14" t="s">
        <v>63</v>
      </c>
      <c r="C56" s="15">
        <v>541</v>
      </c>
      <c r="D56" s="15">
        <v>159</v>
      </c>
      <c r="G56" s="14" t="s">
        <v>15</v>
      </c>
      <c r="H56" s="15">
        <v>6</v>
      </c>
      <c r="I56" s="15">
        <v>9</v>
      </c>
    </row>
    <row r="57" spans="2:9" x14ac:dyDescent="0.25">
      <c r="B57" s="14" t="s">
        <v>52</v>
      </c>
      <c r="C57" s="15">
        <v>535</v>
      </c>
      <c r="D57" s="15">
        <v>165</v>
      </c>
      <c r="G57" s="14" t="s">
        <v>27</v>
      </c>
      <c r="H57" s="15">
        <v>6</v>
      </c>
      <c r="I57" s="15">
        <v>11.1</v>
      </c>
    </row>
    <row r="58" spans="2:9" x14ac:dyDescent="0.25">
      <c r="B58" s="14" t="s">
        <v>53</v>
      </c>
      <c r="C58" s="15">
        <v>533</v>
      </c>
      <c r="D58" s="15">
        <v>167</v>
      </c>
      <c r="G58" s="14" t="s">
        <v>26</v>
      </c>
      <c r="H58" s="15">
        <v>6</v>
      </c>
      <c r="I58" s="15">
        <v>9.5</v>
      </c>
    </row>
    <row r="59" spans="2:9" x14ac:dyDescent="0.25">
      <c r="B59" s="14" t="s">
        <v>69</v>
      </c>
      <c r="C59" s="15">
        <v>501</v>
      </c>
      <c r="D59" s="15">
        <v>199</v>
      </c>
      <c r="G59" s="14" t="s">
        <v>43</v>
      </c>
      <c r="H59" s="15">
        <v>6</v>
      </c>
      <c r="I59" s="15">
        <v>9.6999999999999993</v>
      </c>
    </row>
    <row r="60" spans="2:9" x14ac:dyDescent="0.25">
      <c r="B60" s="14" t="s">
        <v>23</v>
      </c>
      <c r="C60" s="15">
        <v>501</v>
      </c>
      <c r="D60" s="15">
        <v>199</v>
      </c>
      <c r="G60" s="14" t="s">
        <v>33</v>
      </c>
      <c r="H60" s="15">
        <v>6</v>
      </c>
      <c r="I60" s="15">
        <v>10.3</v>
      </c>
    </row>
    <row r="61" spans="2:9" x14ac:dyDescent="0.25">
      <c r="B61" s="14" t="s">
        <v>44</v>
      </c>
      <c r="C61" s="15">
        <v>501</v>
      </c>
      <c r="D61" s="15">
        <v>199</v>
      </c>
      <c r="G61" s="14" t="s">
        <v>47</v>
      </c>
      <c r="H61" s="15">
        <v>6</v>
      </c>
      <c r="I61" s="15">
        <v>11.3</v>
      </c>
    </row>
    <row r="62" spans="2:9" x14ac:dyDescent="0.25">
      <c r="B62" s="14" t="s">
        <v>12</v>
      </c>
      <c r="C62" s="15">
        <v>492</v>
      </c>
      <c r="D62" s="15">
        <v>208</v>
      </c>
      <c r="G62" s="14" t="s">
        <v>46</v>
      </c>
      <c r="H62" s="15">
        <v>6</v>
      </c>
      <c r="I62" s="15">
        <v>12.3</v>
      </c>
    </row>
    <row r="63" spans="2:9" x14ac:dyDescent="0.25">
      <c r="B63" s="14" t="s">
        <v>34</v>
      </c>
      <c r="C63" s="15">
        <v>492</v>
      </c>
      <c r="D63" s="15">
        <v>208</v>
      </c>
      <c r="G63" s="14" t="s">
        <v>42</v>
      </c>
      <c r="H63" s="15">
        <v>6</v>
      </c>
      <c r="I63" s="15">
        <v>9.5</v>
      </c>
    </row>
    <row r="64" spans="2:9" x14ac:dyDescent="0.25">
      <c r="B64" s="14" t="s">
        <v>54</v>
      </c>
      <c r="C64" s="15">
        <v>492</v>
      </c>
      <c r="D64" s="15">
        <v>208</v>
      </c>
      <c r="G64" s="14" t="s">
        <v>65</v>
      </c>
      <c r="H64" s="15">
        <v>5</v>
      </c>
      <c r="I64" s="15">
        <v>8</v>
      </c>
    </row>
    <row r="65" spans="2:9" x14ac:dyDescent="0.25">
      <c r="B65" s="14" t="s">
        <v>16</v>
      </c>
      <c r="C65" s="15">
        <v>487</v>
      </c>
      <c r="D65" s="15">
        <v>213</v>
      </c>
      <c r="G65" s="14" t="s">
        <v>58</v>
      </c>
      <c r="H65" s="15">
        <v>5</v>
      </c>
      <c r="I65" s="15">
        <v>11</v>
      </c>
    </row>
    <row r="66" spans="2:9" x14ac:dyDescent="0.25">
      <c r="B66" s="14" t="s">
        <v>38</v>
      </c>
      <c r="C66" s="15">
        <v>487</v>
      </c>
      <c r="D66" s="15">
        <v>213</v>
      </c>
      <c r="G66" s="14" t="s">
        <v>68</v>
      </c>
      <c r="H66" s="15">
        <v>5</v>
      </c>
      <c r="I66" s="15">
        <v>8.6</v>
      </c>
    </row>
    <row r="67" spans="2:9" x14ac:dyDescent="0.25">
      <c r="B67" s="14" t="s">
        <v>58</v>
      </c>
      <c r="C67" s="15">
        <v>487</v>
      </c>
      <c r="D67" s="15">
        <v>213</v>
      </c>
      <c r="G67" s="14" t="s">
        <v>57</v>
      </c>
      <c r="H67" s="15">
        <v>5</v>
      </c>
      <c r="I67" s="15">
        <v>8.6</v>
      </c>
    </row>
    <row r="68" spans="2:9" x14ac:dyDescent="0.25">
      <c r="B68" s="14" t="s">
        <v>73</v>
      </c>
      <c r="C68" s="15">
        <v>448</v>
      </c>
      <c r="D68" s="15">
        <v>252</v>
      </c>
      <c r="G68" s="14" t="s">
        <v>76</v>
      </c>
      <c r="H68" s="15">
        <v>5</v>
      </c>
      <c r="I68" s="15">
        <v>9.4</v>
      </c>
    </row>
    <row r="69" spans="2:9" x14ac:dyDescent="0.25">
      <c r="B69" s="14" t="s">
        <v>72</v>
      </c>
      <c r="C69" s="15">
        <v>448</v>
      </c>
      <c r="D69" s="15">
        <v>252</v>
      </c>
      <c r="G69" s="14" t="s">
        <v>71</v>
      </c>
      <c r="H69" s="15">
        <v>5</v>
      </c>
      <c r="I69" s="15">
        <v>10</v>
      </c>
    </row>
    <row r="70" spans="2:9" x14ac:dyDescent="0.25">
      <c r="B70" s="14" t="s">
        <v>64</v>
      </c>
      <c r="C70" s="15">
        <v>446</v>
      </c>
      <c r="D70" s="15">
        <v>254</v>
      </c>
      <c r="G70" s="14" t="s">
        <v>74</v>
      </c>
      <c r="H70" s="15">
        <v>5</v>
      </c>
      <c r="I70" s="15">
        <v>10.7</v>
      </c>
    </row>
    <row r="71" spans="2:9" x14ac:dyDescent="0.25">
      <c r="B71" s="14" t="s">
        <v>25</v>
      </c>
      <c r="C71" s="15">
        <v>439</v>
      </c>
      <c r="D71" s="15">
        <v>261</v>
      </c>
      <c r="G71" s="14" t="s">
        <v>73</v>
      </c>
      <c r="H71" s="15">
        <v>4</v>
      </c>
      <c r="I71" s="15">
        <v>8.1</v>
      </c>
    </row>
    <row r="72" spans="2:9" x14ac:dyDescent="0.25">
      <c r="B72" s="14" t="s">
        <v>76</v>
      </c>
      <c r="C72" s="15">
        <v>439</v>
      </c>
      <c r="D72" s="15">
        <v>261</v>
      </c>
      <c r="G72" s="14" t="s">
        <v>62</v>
      </c>
      <c r="H72" s="15">
        <v>4</v>
      </c>
      <c r="I72" s="15">
        <v>6.7</v>
      </c>
    </row>
    <row r="73" spans="2:9" x14ac:dyDescent="0.25">
      <c r="B73" s="14" t="s">
        <v>46</v>
      </c>
      <c r="C73" s="15">
        <v>439</v>
      </c>
      <c r="D73" s="15">
        <v>261</v>
      </c>
      <c r="G73" s="14" t="s">
        <v>55</v>
      </c>
      <c r="H73" s="15">
        <v>4</v>
      </c>
      <c r="I73" s="15">
        <v>7.7</v>
      </c>
    </row>
    <row r="74" spans="2:9" x14ac:dyDescent="0.25">
      <c r="B74" s="14" t="s">
        <v>61</v>
      </c>
      <c r="C74" s="15">
        <v>437</v>
      </c>
      <c r="D74" s="15">
        <v>263</v>
      </c>
      <c r="G74" s="14" t="s">
        <v>52</v>
      </c>
      <c r="H74" s="15">
        <v>4</v>
      </c>
      <c r="I74" s="15">
        <v>9.1</v>
      </c>
    </row>
    <row r="75" spans="2:9" x14ac:dyDescent="0.25">
      <c r="B75" s="14" t="s">
        <v>70</v>
      </c>
      <c r="C75" s="15">
        <v>424</v>
      </c>
      <c r="D75" s="15">
        <v>276</v>
      </c>
      <c r="G75" s="14" t="s">
        <v>59</v>
      </c>
      <c r="H75" s="15">
        <v>4</v>
      </c>
      <c r="I75" s="15">
        <v>8.6</v>
      </c>
    </row>
    <row r="76" spans="2:9" x14ac:dyDescent="0.25">
      <c r="B76" s="14" t="s">
        <v>24</v>
      </c>
      <c r="C76" s="15">
        <v>424</v>
      </c>
      <c r="D76" s="15">
        <v>276</v>
      </c>
      <c r="G76" s="14" t="s">
        <v>69</v>
      </c>
      <c r="H76" s="15">
        <v>4</v>
      </c>
      <c r="I76" s="15">
        <v>6.7</v>
      </c>
    </row>
    <row r="77" spans="2:9" x14ac:dyDescent="0.25">
      <c r="B77" s="14" t="s">
        <v>45</v>
      </c>
      <c r="C77" s="15">
        <v>424</v>
      </c>
      <c r="D77" s="15">
        <v>276</v>
      </c>
      <c r="G77" s="14" t="s">
        <v>66</v>
      </c>
      <c r="H77" s="15">
        <v>4</v>
      </c>
      <c r="I77" s="15">
        <v>7.2</v>
      </c>
    </row>
    <row r="78" spans="2:9" x14ac:dyDescent="0.25">
      <c r="B78" s="14" t="s">
        <v>51</v>
      </c>
      <c r="C78" s="15">
        <v>423</v>
      </c>
      <c r="D78" s="15">
        <v>277</v>
      </c>
      <c r="G78" s="14" t="s">
        <v>54</v>
      </c>
      <c r="H78" s="15">
        <v>3</v>
      </c>
      <c r="I78" s="15">
        <v>5.9</v>
      </c>
    </row>
    <row r="79" spans="2:9" x14ac:dyDescent="0.25">
      <c r="B79" s="14" t="s">
        <v>74</v>
      </c>
      <c r="C79" s="15">
        <v>421</v>
      </c>
      <c r="D79" s="15">
        <v>279</v>
      </c>
      <c r="G79" s="14" t="s">
        <v>64</v>
      </c>
      <c r="H79" s="15">
        <v>3</v>
      </c>
      <c r="I79" s="15">
        <v>5.2</v>
      </c>
    </row>
    <row r="80" spans="2:9" x14ac:dyDescent="0.25">
      <c r="B80" s="14" t="s">
        <v>101</v>
      </c>
      <c r="C80" s="15">
        <v>281</v>
      </c>
      <c r="D80" s="15">
        <v>419</v>
      </c>
      <c r="G80" s="14" t="s">
        <v>70</v>
      </c>
      <c r="H80" s="15">
        <v>3</v>
      </c>
      <c r="I80" s="15">
        <v>5.6</v>
      </c>
    </row>
    <row r="81" spans="2:9" x14ac:dyDescent="0.25">
      <c r="B81" s="14" t="s">
        <v>28</v>
      </c>
      <c r="C81" s="15">
        <v>276</v>
      </c>
      <c r="D81" s="15">
        <v>424</v>
      </c>
      <c r="G81" s="14" t="s">
        <v>75</v>
      </c>
      <c r="H81" s="15">
        <v>3</v>
      </c>
      <c r="I81" s="15">
        <v>5.5</v>
      </c>
    </row>
    <row r="82" spans="2:9" x14ac:dyDescent="0.25">
      <c r="B82" s="14" t="s">
        <v>49</v>
      </c>
      <c r="C82" s="15">
        <v>276</v>
      </c>
      <c r="D82" s="15">
        <v>424</v>
      </c>
      <c r="G82" s="14" t="s">
        <v>60</v>
      </c>
      <c r="H82" s="15">
        <v>3</v>
      </c>
      <c r="I82" s="15">
        <v>5.8</v>
      </c>
    </row>
    <row r="83" spans="2:9" x14ac:dyDescent="0.25">
      <c r="B83" s="14" t="s">
        <v>79</v>
      </c>
      <c r="C83" s="15">
        <v>276</v>
      </c>
      <c r="D83" s="15">
        <v>424</v>
      </c>
      <c r="G83" s="14" t="s">
        <v>63</v>
      </c>
      <c r="H83" s="15">
        <v>3</v>
      </c>
      <c r="I83" s="15">
        <v>4.9000000000000004</v>
      </c>
    </row>
    <row r="84" spans="2:9" x14ac:dyDescent="0.25">
      <c r="B84" s="14" t="s">
        <v>82</v>
      </c>
      <c r="C84" s="15">
        <v>268</v>
      </c>
      <c r="D84" s="15">
        <v>432</v>
      </c>
      <c r="G84" s="14" t="s">
        <v>61</v>
      </c>
      <c r="H84" s="15">
        <v>3</v>
      </c>
      <c r="I84" s="15">
        <v>4.5</v>
      </c>
    </row>
    <row r="85" spans="2:9" x14ac:dyDescent="0.25">
      <c r="B85" s="14" t="s">
        <v>89</v>
      </c>
      <c r="C85" s="15">
        <v>267</v>
      </c>
      <c r="D85" s="15">
        <v>433</v>
      </c>
      <c r="G85" s="14" t="s">
        <v>56</v>
      </c>
      <c r="H85" s="15">
        <v>3</v>
      </c>
      <c r="I85" s="15">
        <v>5.3</v>
      </c>
    </row>
    <row r="86" spans="2:9" x14ac:dyDescent="0.25">
      <c r="B86" s="14" t="s">
        <v>87</v>
      </c>
      <c r="C86" s="15">
        <v>267</v>
      </c>
      <c r="D86" s="15">
        <v>433</v>
      </c>
      <c r="G86" s="14" t="s">
        <v>51</v>
      </c>
      <c r="H86" s="15">
        <v>3</v>
      </c>
      <c r="I86" s="15">
        <v>6.2</v>
      </c>
    </row>
    <row r="87" spans="2:9" x14ac:dyDescent="0.25">
      <c r="B87" s="14" t="s">
        <v>94</v>
      </c>
      <c r="C87" s="15">
        <v>265</v>
      </c>
      <c r="D87" s="15">
        <v>435</v>
      </c>
      <c r="G87" s="14" t="s">
        <v>53</v>
      </c>
      <c r="H87" s="15">
        <v>3</v>
      </c>
      <c r="I87" s="15">
        <v>6.2</v>
      </c>
    </row>
    <row r="88" spans="2:9" x14ac:dyDescent="0.25">
      <c r="B88" s="14" t="s">
        <v>105</v>
      </c>
      <c r="C88" s="15">
        <v>261</v>
      </c>
      <c r="D88" s="15">
        <v>439</v>
      </c>
      <c r="G88" s="14" t="s">
        <v>72</v>
      </c>
      <c r="H88" s="15">
        <v>3</v>
      </c>
      <c r="I88" s="15">
        <v>6.3</v>
      </c>
    </row>
    <row r="89" spans="2:9" x14ac:dyDescent="0.25">
      <c r="B89" s="14" t="s">
        <v>99</v>
      </c>
      <c r="C89" s="15">
        <v>244</v>
      </c>
      <c r="D89" s="15">
        <v>456</v>
      </c>
      <c r="G89" s="14" t="s">
        <v>85</v>
      </c>
      <c r="H89" s="15">
        <v>2</v>
      </c>
      <c r="I89" s="15">
        <v>3.1</v>
      </c>
    </row>
    <row r="90" spans="2:9" x14ac:dyDescent="0.25">
      <c r="B90" s="14" t="s">
        <v>100</v>
      </c>
      <c r="C90" s="15">
        <v>241</v>
      </c>
      <c r="D90" s="15">
        <v>459</v>
      </c>
      <c r="G90" s="14" t="s">
        <v>86</v>
      </c>
      <c r="H90" s="15">
        <v>2</v>
      </c>
      <c r="I90" s="15">
        <v>3.4</v>
      </c>
    </row>
    <row r="91" spans="2:9" x14ac:dyDescent="0.25">
      <c r="B91" s="14" t="s">
        <v>98</v>
      </c>
      <c r="C91" s="15">
        <v>236</v>
      </c>
      <c r="D91" s="15">
        <v>464</v>
      </c>
      <c r="G91" s="14" t="s">
        <v>106</v>
      </c>
      <c r="H91" s="15">
        <v>2</v>
      </c>
      <c r="I91" s="15">
        <v>4</v>
      </c>
    </row>
    <row r="92" spans="2:9" x14ac:dyDescent="0.25">
      <c r="B92" s="14" t="s">
        <v>91</v>
      </c>
      <c r="C92" s="15">
        <v>232</v>
      </c>
      <c r="D92" s="15">
        <v>468</v>
      </c>
      <c r="G92" s="14" t="s">
        <v>82</v>
      </c>
      <c r="H92" s="15">
        <v>2</v>
      </c>
      <c r="I92" s="15">
        <v>4.2</v>
      </c>
    </row>
    <row r="93" spans="2:9" x14ac:dyDescent="0.25">
      <c r="B93" s="14" t="s">
        <v>93</v>
      </c>
      <c r="C93" s="15">
        <v>196</v>
      </c>
      <c r="D93" s="15">
        <v>504</v>
      </c>
      <c r="G93" s="14" t="s">
        <v>97</v>
      </c>
      <c r="H93" s="15">
        <v>2</v>
      </c>
      <c r="I93" s="15">
        <v>4.0999999999999996</v>
      </c>
    </row>
    <row r="94" spans="2:9" x14ac:dyDescent="0.25">
      <c r="B94" s="14" t="s">
        <v>90</v>
      </c>
      <c r="C94" s="15">
        <v>178</v>
      </c>
      <c r="D94" s="15">
        <v>522</v>
      </c>
      <c r="G94" s="14" t="s">
        <v>95</v>
      </c>
      <c r="H94" s="15">
        <v>2</v>
      </c>
      <c r="I94" s="15">
        <v>4.3</v>
      </c>
    </row>
    <row r="95" spans="2:9" x14ac:dyDescent="0.25">
      <c r="B95" s="14" t="s">
        <v>47</v>
      </c>
      <c r="C95" s="15">
        <v>174</v>
      </c>
      <c r="D95" s="15">
        <v>526</v>
      </c>
      <c r="G95" s="14" t="s">
        <v>94</v>
      </c>
      <c r="H95" s="15">
        <v>2</v>
      </c>
      <c r="I95" s="15">
        <v>4.0999999999999996</v>
      </c>
    </row>
    <row r="96" spans="2:9" x14ac:dyDescent="0.25">
      <c r="B96" s="14" t="s">
        <v>77</v>
      </c>
      <c r="C96" s="15">
        <v>174</v>
      </c>
      <c r="D96" s="15">
        <v>526</v>
      </c>
      <c r="G96" s="14" t="s">
        <v>103</v>
      </c>
      <c r="H96" s="15">
        <v>2</v>
      </c>
      <c r="I96" s="15">
        <v>3.2</v>
      </c>
    </row>
    <row r="97" spans="2:9" x14ac:dyDescent="0.25">
      <c r="B97" s="14" t="s">
        <v>26</v>
      </c>
      <c r="C97" s="15">
        <v>174</v>
      </c>
      <c r="D97" s="15">
        <v>526</v>
      </c>
      <c r="G97" s="14" t="s">
        <v>89</v>
      </c>
      <c r="H97" s="15">
        <v>2</v>
      </c>
      <c r="I97" s="15">
        <v>4.5</v>
      </c>
    </row>
    <row r="98" spans="2:9" x14ac:dyDescent="0.25">
      <c r="B98" s="14" t="s">
        <v>83</v>
      </c>
      <c r="C98" s="15">
        <v>155</v>
      </c>
      <c r="D98" s="15">
        <v>545</v>
      </c>
      <c r="G98" s="14" t="s">
        <v>98</v>
      </c>
      <c r="H98" s="15">
        <v>1</v>
      </c>
      <c r="I98" s="15">
        <v>2</v>
      </c>
    </row>
    <row r="99" spans="2:9" x14ac:dyDescent="0.25">
      <c r="B99" s="14" t="s">
        <v>97</v>
      </c>
      <c r="C99" s="15">
        <v>144</v>
      </c>
      <c r="D99" s="15">
        <v>556</v>
      </c>
      <c r="G99" s="14" t="s">
        <v>83</v>
      </c>
      <c r="H99" s="15">
        <v>1</v>
      </c>
      <c r="I99" s="15">
        <v>1.5</v>
      </c>
    </row>
    <row r="100" spans="2:9" x14ac:dyDescent="0.25">
      <c r="B100" s="14" t="s">
        <v>48</v>
      </c>
      <c r="C100" s="15">
        <v>141</v>
      </c>
      <c r="D100" s="15">
        <v>559</v>
      </c>
      <c r="G100" s="14" t="s">
        <v>100</v>
      </c>
      <c r="H100" s="15">
        <v>1</v>
      </c>
      <c r="I100" s="15">
        <v>2.1</v>
      </c>
    </row>
    <row r="101" spans="2:9" x14ac:dyDescent="0.25">
      <c r="B101" s="14" t="s">
        <v>78</v>
      </c>
      <c r="C101" s="15">
        <v>141</v>
      </c>
      <c r="D101" s="15">
        <v>559</v>
      </c>
      <c r="G101" s="14" t="s">
        <v>96</v>
      </c>
      <c r="H101" s="15">
        <v>1</v>
      </c>
      <c r="I101" s="15">
        <v>1.5</v>
      </c>
    </row>
    <row r="102" spans="2:9" x14ac:dyDescent="0.25">
      <c r="B102" s="14" t="s">
        <v>27</v>
      </c>
      <c r="C102" s="15">
        <v>141</v>
      </c>
      <c r="D102" s="15">
        <v>559</v>
      </c>
      <c r="G102" s="14" t="s">
        <v>78</v>
      </c>
      <c r="H102" s="15">
        <v>1</v>
      </c>
      <c r="I102" s="15">
        <v>1.9</v>
      </c>
    </row>
    <row r="103" spans="2:9" x14ac:dyDescent="0.25">
      <c r="B103" s="14" t="s">
        <v>88</v>
      </c>
      <c r="C103" s="15">
        <v>138</v>
      </c>
      <c r="D103" s="15">
        <v>562</v>
      </c>
      <c r="G103" s="14" t="s">
        <v>105</v>
      </c>
      <c r="H103" s="15">
        <v>1</v>
      </c>
      <c r="I103" s="15">
        <v>2</v>
      </c>
    </row>
    <row r="104" spans="2:9" x14ac:dyDescent="0.25">
      <c r="B104" s="14" t="s">
        <v>80</v>
      </c>
      <c r="C104" s="15">
        <v>128</v>
      </c>
      <c r="D104" s="15">
        <v>572</v>
      </c>
      <c r="G104" s="14" t="s">
        <v>79</v>
      </c>
      <c r="H104" s="15">
        <v>1</v>
      </c>
      <c r="I104" s="15">
        <v>2.2999999999999998</v>
      </c>
    </row>
    <row r="105" spans="2:9" x14ac:dyDescent="0.25">
      <c r="B105" s="14" t="s">
        <v>29</v>
      </c>
      <c r="C105" s="15">
        <v>128</v>
      </c>
      <c r="D105" s="15">
        <v>572</v>
      </c>
      <c r="G105" s="14" t="s">
        <v>90</v>
      </c>
      <c r="H105" s="15">
        <v>1</v>
      </c>
      <c r="I105" s="15">
        <v>1.9</v>
      </c>
    </row>
    <row r="106" spans="2:9" x14ac:dyDescent="0.25">
      <c r="B106" s="14" t="s">
        <v>86</v>
      </c>
      <c r="C106" s="15">
        <v>108</v>
      </c>
      <c r="D106" s="15">
        <v>592</v>
      </c>
      <c r="G106" s="14" t="s">
        <v>87</v>
      </c>
      <c r="H106" s="15">
        <v>1</v>
      </c>
      <c r="I106" s="15">
        <v>2.1</v>
      </c>
    </row>
    <row r="107" spans="2:9" x14ac:dyDescent="0.25">
      <c r="B107" s="14" t="s">
        <v>96</v>
      </c>
      <c r="C107" s="15">
        <v>93</v>
      </c>
      <c r="D107" s="15">
        <v>607</v>
      </c>
      <c r="G107" s="14" t="s">
        <v>80</v>
      </c>
      <c r="H107" s="15">
        <v>1</v>
      </c>
      <c r="I107" s="15">
        <v>2</v>
      </c>
    </row>
    <row r="108" spans="2:9" x14ac:dyDescent="0.25">
      <c r="B108" s="14" t="s">
        <v>92</v>
      </c>
      <c r="C108" s="15">
        <v>78</v>
      </c>
      <c r="D108" s="15">
        <v>622</v>
      </c>
      <c r="G108" s="14" t="s">
        <v>93</v>
      </c>
      <c r="H108" s="15">
        <v>1</v>
      </c>
      <c r="I108" s="15">
        <v>2.1</v>
      </c>
    </row>
    <row r="109" spans="2:9" x14ac:dyDescent="0.25">
      <c r="B109" s="14" t="s">
        <v>106</v>
      </c>
      <c r="C109" s="15">
        <v>75</v>
      </c>
      <c r="D109" s="15">
        <v>625</v>
      </c>
      <c r="G109" s="14" t="s">
        <v>102</v>
      </c>
      <c r="H109" s="15">
        <v>1</v>
      </c>
      <c r="I109" s="15">
        <v>1.7</v>
      </c>
    </row>
    <row r="110" spans="2:9" x14ac:dyDescent="0.25">
      <c r="B110" s="14" t="s">
        <v>103</v>
      </c>
      <c r="C110" s="15">
        <v>69</v>
      </c>
      <c r="D110" s="15">
        <v>631</v>
      </c>
      <c r="G110" s="14" t="s">
        <v>88</v>
      </c>
      <c r="H110" s="15">
        <v>1</v>
      </c>
      <c r="I110" s="15">
        <v>1.6</v>
      </c>
    </row>
    <row r="111" spans="2:9" x14ac:dyDescent="0.25">
      <c r="B111" s="14" t="s">
        <v>95</v>
      </c>
      <c r="C111" s="15">
        <v>57</v>
      </c>
      <c r="D111" s="15">
        <v>643</v>
      </c>
      <c r="G111" s="14" t="s">
        <v>77</v>
      </c>
      <c r="H111" s="15">
        <v>1</v>
      </c>
      <c r="I111" s="15">
        <v>1.8</v>
      </c>
    </row>
    <row r="112" spans="2:9" x14ac:dyDescent="0.25">
      <c r="B112" s="14" t="s">
        <v>104</v>
      </c>
      <c r="C112" s="15">
        <v>45</v>
      </c>
      <c r="D112" s="15">
        <v>655</v>
      </c>
      <c r="G112" s="14" t="s">
        <v>92</v>
      </c>
      <c r="H112" s="15">
        <v>1</v>
      </c>
      <c r="I112" s="15">
        <v>2</v>
      </c>
    </row>
    <row r="113" spans="2:9" x14ac:dyDescent="0.25">
      <c r="B113" s="14" t="s">
        <v>81</v>
      </c>
      <c r="C113" s="15">
        <v>34</v>
      </c>
      <c r="D113" s="15">
        <v>666</v>
      </c>
      <c r="G113" s="14" t="s">
        <v>91</v>
      </c>
      <c r="H113" s="15">
        <v>0</v>
      </c>
      <c r="I113" s="15">
        <v>0</v>
      </c>
    </row>
    <row r="114" spans="2:9" x14ac:dyDescent="0.25">
      <c r="B114" s="14" t="s">
        <v>30</v>
      </c>
      <c r="C114" s="15">
        <v>34</v>
      </c>
      <c r="D114" s="15">
        <v>666</v>
      </c>
      <c r="G114" s="14" t="s">
        <v>104</v>
      </c>
      <c r="H114" s="15">
        <v>0</v>
      </c>
      <c r="I114" s="15">
        <v>0</v>
      </c>
    </row>
    <row r="115" spans="2:9" x14ac:dyDescent="0.25">
      <c r="B115" s="14" t="s">
        <v>102</v>
      </c>
      <c r="C115" s="15">
        <v>34</v>
      </c>
      <c r="D115" s="15">
        <v>666</v>
      </c>
      <c r="G115" s="14" t="s">
        <v>99</v>
      </c>
      <c r="H115" s="15">
        <v>0</v>
      </c>
      <c r="I115" s="15">
        <v>0</v>
      </c>
    </row>
    <row r="116" spans="2:9" x14ac:dyDescent="0.25">
      <c r="B116" s="14" t="s">
        <v>84</v>
      </c>
      <c r="C116" s="15">
        <v>18</v>
      </c>
      <c r="D116" s="15">
        <v>682</v>
      </c>
      <c r="G116" s="14" t="s">
        <v>84</v>
      </c>
      <c r="H116" s="15">
        <v>0</v>
      </c>
      <c r="I116" s="15">
        <v>0</v>
      </c>
    </row>
    <row r="117" spans="2:9" x14ac:dyDescent="0.25">
      <c r="B117" s="14" t="s">
        <v>85</v>
      </c>
      <c r="C117" s="15">
        <v>8</v>
      </c>
      <c r="D117" s="15">
        <v>692</v>
      </c>
      <c r="G117" s="14" t="s">
        <v>101</v>
      </c>
      <c r="H117" s="15">
        <v>0</v>
      </c>
      <c r="I117" s="15">
        <v>0</v>
      </c>
    </row>
    <row r="118" spans="2:9" x14ac:dyDescent="0.25">
      <c r="G118" s="14" t="s">
        <v>81</v>
      </c>
      <c r="H118" s="15">
        <v>0</v>
      </c>
      <c r="I118" s="15">
        <v>0</v>
      </c>
    </row>
  </sheetData>
  <conditionalFormatting sqref="B22:C22 B23:B117">
    <cfRule type="top10" dxfId="9" priority="8" rank="10"/>
  </conditionalFormatting>
  <conditionalFormatting sqref="B22:C22 B23:B117">
    <cfRule type="top10" dxfId="8" priority="7" rank="25"/>
  </conditionalFormatting>
  <conditionalFormatting sqref="G22:I23 G24:G118">
    <cfRule type="top10" dxfId="7" priority="5" rank="20"/>
    <cfRule type="top10" dxfId="6" priority="6" bottom="1" rank="10"/>
  </conditionalFormatting>
  <conditionalFormatting sqref="I22:I23">
    <cfRule type="top10" dxfId="5" priority="4" bottom="1" rank="20"/>
  </conditionalFormatting>
  <conditionalFormatting sqref="A21:C117">
    <cfRule type="top10" dxfId="4" priority="3" rank="30"/>
    <cfRule type="aboveAverage" dxfId="3" priority="2"/>
  </conditionalFormatting>
  <conditionalFormatting sqref="G22:H118">
    <cfRule type="aboveAverage" dxfId="2" priority="1" aboveAverage="0"/>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A0BBD6D-0B02-40E1-B112-EAEF583342B8}">
  <ds:schemaRefs>
    <ds:schemaRef ds:uri="http://schemas.microsoft.com/DataMashup"/>
  </ds:schemaRefs>
</ds:datastoreItem>
</file>

<file path=customXml/itemProps2.xml><?xml version="1.0" encoding="utf-8"?>
<ds:datastoreItem xmlns:ds="http://schemas.openxmlformats.org/officeDocument/2006/customXml" ds:itemID="{81D08A45-E066-4E98-8185-9DC64E2D5863}">
  <ds:schemaRefs/>
</ds:datastoreItem>
</file>

<file path=customXml/itemProps3.xml><?xml version="1.0" encoding="utf-8"?>
<ds:datastoreItem xmlns:ds="http://schemas.openxmlformats.org/officeDocument/2006/customXml" ds:itemID="{26B12972-F9CD-4CE0-B880-732BA0F0CED2}">
  <ds:schemaRefs/>
</ds:datastoreItem>
</file>

<file path=customXml/itemProps4.xml><?xml version="1.0" encoding="utf-8"?>
<ds:datastoreItem xmlns:ds="http://schemas.openxmlformats.org/officeDocument/2006/customXml" ds:itemID="{537A436A-2691-4C76-91E9-0E621A7C6F3B}">
  <ds:schemaRefs/>
</ds:datastoreItem>
</file>

<file path=customXml/itemProps5.xml><?xml version="1.0" encoding="utf-8"?>
<ds:datastoreItem xmlns:ds="http://schemas.openxmlformats.org/officeDocument/2006/customXml" ds:itemID="{5169FD4B-3795-458C-83E4-B7680DB8994E}">
  <ds:schemaRefs/>
</ds:datastoreItem>
</file>

<file path=customXml/itemProps6.xml><?xml version="1.0" encoding="utf-8"?>
<ds:datastoreItem xmlns:ds="http://schemas.openxmlformats.org/officeDocument/2006/customXml" ds:itemID="{B88B95AC-F263-4D64-BDE5-30B52FBF8D84}">
  <ds:schemaRefs/>
</ds:datastoreItem>
</file>

<file path=customXml/itemProps7.xml><?xml version="1.0" encoding="utf-8"?>
<ds:datastoreItem xmlns:ds="http://schemas.openxmlformats.org/officeDocument/2006/customXml" ds:itemID="{319A7E65-7D5D-4815-93DD-B6FA0ABD7D2A}">
  <ds:schemaRefs/>
</ds:datastoreItem>
</file>

<file path=customXml/itemProps8.xml><?xml version="1.0" encoding="utf-8"?>
<ds:datastoreItem xmlns:ds="http://schemas.openxmlformats.org/officeDocument/2006/customXml" ds:itemID="{D2B7EB75-5A05-46D4-A1A2-CAE2BB6C36AB}">
  <ds:schemaRefs/>
</ds:datastoreItem>
</file>

<file path=customXml/itemProps9.xml><?xml version="1.0" encoding="utf-8"?>
<ds:datastoreItem xmlns:ds="http://schemas.openxmlformats.org/officeDocument/2006/customXml" ds:itemID="{6BED3887-EFB0-4C7E-91E0-190100B46398}">
  <ds:schemaRefs/>
</ds:datastoreItem>
</file>

<file path=customXml/itemProps10.xml><?xml version="1.0" encoding="utf-8"?>
<ds:datastoreItem xmlns:ds="http://schemas.openxmlformats.org/officeDocument/2006/customXml" ds:itemID="{1E0C92EB-5BAA-4F50-B151-E49D0F13DB81}">
  <ds:schemaRefs/>
</ds:datastoreItem>
</file>

<file path=customXml/itemProps11.xml><?xml version="1.0" encoding="utf-8"?>
<ds:datastoreItem xmlns:ds="http://schemas.openxmlformats.org/officeDocument/2006/customXml" ds:itemID="{9A43433A-A122-4706-8809-357F96599388}">
  <ds:schemaRefs/>
</ds:datastoreItem>
</file>

<file path=customXml/itemProps12.xml><?xml version="1.0" encoding="utf-8"?>
<ds:datastoreItem xmlns:ds="http://schemas.openxmlformats.org/officeDocument/2006/customXml" ds:itemID="{C549A677-2A08-40FA-9603-BF5383640B1B}">
  <ds:schemaRefs/>
</ds:datastoreItem>
</file>

<file path=customXml/itemProps13.xml><?xml version="1.0" encoding="utf-8"?>
<ds:datastoreItem xmlns:ds="http://schemas.openxmlformats.org/officeDocument/2006/customXml" ds:itemID="{813000C2-C2C7-4E4D-84F5-93BD3E6F4029}">
  <ds:schemaRefs/>
</ds:datastoreItem>
</file>

<file path=customXml/itemProps14.xml><?xml version="1.0" encoding="utf-8"?>
<ds:datastoreItem xmlns:ds="http://schemas.openxmlformats.org/officeDocument/2006/customXml" ds:itemID="{A629AFDE-9D71-44E6-BE67-4DED0DA0ED39}">
  <ds:schemaRefs/>
</ds:datastoreItem>
</file>

<file path=customXml/itemProps15.xml><?xml version="1.0" encoding="utf-8"?>
<ds:datastoreItem xmlns:ds="http://schemas.openxmlformats.org/officeDocument/2006/customXml" ds:itemID="{4DB26BC3-8918-486C-8ACE-5A5D1E14C165}">
  <ds:schemaRefs/>
</ds:datastoreItem>
</file>

<file path=customXml/itemProps16.xml><?xml version="1.0" encoding="utf-8"?>
<ds:datastoreItem xmlns:ds="http://schemas.openxmlformats.org/officeDocument/2006/customXml" ds:itemID="{E3E0DBD8-1EEE-4BFF-8BD1-9043DDEC40F5}">
  <ds:schemaRefs/>
</ds:datastoreItem>
</file>

<file path=customXml/itemProps17.xml><?xml version="1.0" encoding="utf-8"?>
<ds:datastoreItem xmlns:ds="http://schemas.openxmlformats.org/officeDocument/2006/customXml" ds:itemID="{21E0D098-974C-4334-AE8D-757C5B990104}">
  <ds:schemaRefs/>
</ds:datastoreItem>
</file>

<file path=customXml/itemProps18.xml><?xml version="1.0" encoding="utf-8"?>
<ds:datastoreItem xmlns:ds="http://schemas.openxmlformats.org/officeDocument/2006/customXml" ds:itemID="{9B15F860-F29B-4AAC-9822-F8F032C40BCB}">
  <ds:schemaRefs/>
</ds:datastoreItem>
</file>

<file path=customXml/itemProps19.xml><?xml version="1.0" encoding="utf-8"?>
<ds:datastoreItem xmlns:ds="http://schemas.openxmlformats.org/officeDocument/2006/customXml" ds:itemID="{9F955578-8AC2-4AE0-AC56-053858507222}">
  <ds:schemaRefs/>
</ds:datastoreItem>
</file>

<file path=docMetadata/LabelInfo.xml><?xml version="1.0" encoding="utf-8"?>
<clbl:labelList xmlns:clbl="http://schemas.microsoft.com/office/2020/mipLabelMetadata">
  <clbl:label id="{5b303516-f2b1-4ff6-96ad-5945b63736b1}" enabled="0" method="" siteId="{5b303516-f2b1-4ff6-96ad-5945b63736b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Tasks</vt:lpstr>
      <vt:lpstr>Data</vt:lpstr>
      <vt:lpstr>PIVOT TABLES</vt:lpstr>
      <vt:lpstr>Dashbord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Jackson Shayo</dc:creator>
  <cp:keywords/>
  <dc:description/>
  <cp:lastModifiedBy>peter mutua</cp:lastModifiedBy>
  <cp:revision/>
  <dcterms:created xsi:type="dcterms:W3CDTF">2026-02-19T09:33:48Z</dcterms:created>
  <dcterms:modified xsi:type="dcterms:W3CDTF">2026-02-22T23:21:47Z</dcterms:modified>
  <cp:category/>
  <cp:contentStatus/>
</cp:coreProperties>
</file>